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slicers/slicer1.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workbookPr hidePivotFieldList="1" defaultThemeVersion="166925"/>
  <mc:AlternateContent xmlns:mc="http://schemas.openxmlformats.org/markup-compatibility/2006">
    <mc:Choice Requires="x15">
      <x15ac:absPath xmlns:x15ac="http://schemas.microsoft.com/office/spreadsheetml/2010/11/ac" url="C:\Users\AYORAPHEAL FARM\Desktop\10 Alytics\Excel Capstone\"/>
    </mc:Choice>
  </mc:AlternateContent>
  <xr:revisionPtr revIDLastSave="0" documentId="8_{2972E87B-2C80-48F0-8C3E-7D30164C377A}" xr6:coauthVersionLast="47" xr6:coauthVersionMax="47" xr10:uidLastSave="{00000000-0000-0000-0000-000000000000}"/>
  <bookViews>
    <workbookView xWindow="-120" yWindow="-120" windowWidth="20730" windowHeight="11160" firstSheet="1" activeTab="4" xr2:uid="{00000000-000D-0000-FFFF-FFFF00000000}"/>
  </bookViews>
  <sheets>
    <sheet name="Titanic_raw" sheetId="1" r:id="rId1"/>
    <sheet name="Titanic_analyzed" sheetId="5" r:id="rId2"/>
    <sheet name="Passengers" sheetId="6" r:id="rId3"/>
    <sheet name="Calculations" sheetId="7" r:id="rId4"/>
    <sheet name="Dashboards" sheetId="8" r:id="rId5"/>
  </sheets>
  <definedNames>
    <definedName name="Slicer_Embarked">#N/A</definedName>
    <definedName name="Slicer_Sex">#N/A</definedName>
    <definedName name="Slicer_Survival_Status">#N/A</definedName>
  </definedNames>
  <calcPr calcId="18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3" i="7" l="1"/>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2" i="5"/>
  <c r="H2" i="5"/>
  <c r="G2" i="5"/>
  <c r="H3" i="5"/>
  <c r="G3" i="5"/>
  <c r="H4" i="5"/>
  <c r="G4" i="5"/>
  <c r="H5" i="5"/>
  <c r="G5" i="5"/>
  <c r="H6" i="5"/>
  <c r="G6" i="5"/>
  <c r="H7" i="5"/>
  <c r="G7" i="5"/>
  <c r="H8" i="5"/>
  <c r="G8" i="5"/>
  <c r="H9" i="5"/>
  <c r="G9" i="5"/>
  <c r="H10" i="5"/>
  <c r="G10" i="5"/>
  <c r="H11" i="5"/>
  <c r="G11" i="5"/>
  <c r="H12" i="5"/>
  <c r="G12" i="5"/>
  <c r="H13" i="5"/>
  <c r="G13" i="5"/>
  <c r="H14" i="5"/>
  <c r="G14" i="5"/>
  <c r="H15" i="5"/>
  <c r="G15" i="5"/>
  <c r="H16" i="5"/>
  <c r="G16" i="5"/>
  <c r="H17" i="5"/>
  <c r="G17" i="5"/>
  <c r="H18" i="5"/>
  <c r="G18" i="5"/>
  <c r="H19" i="5"/>
  <c r="G19" i="5"/>
  <c r="H20" i="5"/>
  <c r="G20" i="5"/>
  <c r="H21" i="5"/>
  <c r="G21" i="5"/>
  <c r="H22" i="5"/>
  <c r="G22" i="5"/>
  <c r="H23" i="5"/>
  <c r="G23" i="5"/>
  <c r="H24" i="5"/>
  <c r="G24" i="5"/>
  <c r="H25" i="5"/>
  <c r="G25" i="5"/>
  <c r="H26" i="5"/>
  <c r="G26" i="5"/>
  <c r="H27" i="5"/>
  <c r="G27" i="5"/>
  <c r="H28" i="5"/>
  <c r="G28" i="5"/>
  <c r="H29" i="5"/>
  <c r="G29" i="5"/>
  <c r="H30" i="5"/>
  <c r="G30" i="5"/>
  <c r="H31" i="5"/>
  <c r="G31" i="5"/>
  <c r="H32" i="5"/>
  <c r="G32" i="5"/>
  <c r="H33" i="5"/>
  <c r="G33" i="5"/>
  <c r="H34" i="5"/>
  <c r="G34" i="5"/>
  <c r="H35" i="5"/>
  <c r="G35" i="5"/>
  <c r="H36" i="5"/>
  <c r="G36" i="5"/>
  <c r="H37" i="5"/>
  <c r="G37" i="5"/>
  <c r="H38" i="5"/>
  <c r="G38" i="5"/>
  <c r="H39" i="5"/>
  <c r="G39" i="5"/>
  <c r="H40" i="5"/>
  <c r="G40" i="5"/>
  <c r="H41" i="5"/>
  <c r="G41" i="5"/>
  <c r="H42" i="5"/>
  <c r="G42" i="5"/>
  <c r="H43" i="5"/>
  <c r="G43" i="5"/>
  <c r="H44" i="5"/>
  <c r="G44" i="5"/>
  <c r="H45" i="5"/>
  <c r="G45" i="5"/>
  <c r="H46" i="5"/>
  <c r="G46" i="5"/>
  <c r="H47" i="5"/>
  <c r="G47" i="5"/>
  <c r="H48" i="5"/>
  <c r="G48" i="5"/>
  <c r="H49" i="5"/>
  <c r="G49" i="5"/>
  <c r="H50" i="5"/>
  <c r="G50" i="5"/>
  <c r="H51" i="5"/>
  <c r="G51" i="5"/>
  <c r="H52" i="5"/>
  <c r="G52" i="5"/>
  <c r="H53" i="5"/>
  <c r="G53" i="5"/>
  <c r="H54" i="5"/>
  <c r="G54" i="5"/>
  <c r="H55" i="5"/>
  <c r="G55" i="5"/>
  <c r="H56" i="5"/>
  <c r="G56" i="5"/>
  <c r="H57" i="5"/>
  <c r="G57" i="5"/>
  <c r="H58" i="5"/>
  <c r="G58" i="5"/>
  <c r="H59" i="5"/>
  <c r="G59" i="5"/>
  <c r="H60" i="5"/>
  <c r="G60" i="5"/>
  <c r="H61" i="5"/>
  <c r="G61" i="5"/>
  <c r="H62" i="5"/>
  <c r="G62" i="5"/>
  <c r="H63" i="5"/>
  <c r="G63" i="5"/>
  <c r="H64" i="5"/>
  <c r="G64" i="5"/>
  <c r="H65" i="5"/>
  <c r="G65" i="5"/>
  <c r="H66" i="5"/>
  <c r="G66" i="5"/>
  <c r="H67" i="5"/>
  <c r="G67" i="5"/>
  <c r="H68" i="5"/>
  <c r="G68" i="5"/>
  <c r="H69" i="5"/>
  <c r="G69" i="5"/>
  <c r="H70" i="5"/>
  <c r="G70" i="5"/>
  <c r="H71" i="5"/>
  <c r="G71" i="5"/>
  <c r="H72" i="5"/>
  <c r="G72" i="5"/>
  <c r="H73" i="5"/>
  <c r="G73" i="5"/>
  <c r="H74" i="5"/>
  <c r="G74" i="5"/>
  <c r="H75" i="5"/>
  <c r="G75" i="5"/>
  <c r="H76" i="5"/>
  <c r="G76" i="5"/>
  <c r="H77" i="5"/>
  <c r="G77" i="5"/>
  <c r="H78" i="5"/>
  <c r="G78" i="5"/>
  <c r="H79" i="5"/>
  <c r="G79" i="5"/>
  <c r="H80" i="5"/>
  <c r="G80" i="5"/>
  <c r="H81" i="5"/>
  <c r="G81" i="5"/>
  <c r="H82" i="5"/>
  <c r="G82" i="5"/>
  <c r="H83" i="5"/>
  <c r="G83" i="5"/>
  <c r="H84" i="5"/>
  <c r="G84" i="5"/>
  <c r="H85" i="5"/>
  <c r="G85" i="5"/>
  <c r="H86" i="5"/>
  <c r="G86" i="5"/>
  <c r="H87" i="5"/>
  <c r="G87" i="5"/>
  <c r="H88" i="5"/>
  <c r="G88" i="5"/>
  <c r="H89" i="5"/>
  <c r="G89" i="5"/>
  <c r="H90" i="5"/>
  <c r="G90" i="5"/>
  <c r="H91" i="5"/>
  <c r="G91" i="5"/>
  <c r="H92" i="5"/>
  <c r="G92" i="5"/>
  <c r="H93" i="5"/>
  <c r="G93" i="5"/>
  <c r="H94" i="5"/>
  <c r="G94" i="5"/>
  <c r="H95" i="5"/>
  <c r="G95" i="5"/>
  <c r="H96" i="5"/>
  <c r="G96" i="5"/>
  <c r="H97" i="5"/>
  <c r="G97" i="5"/>
  <c r="H98" i="5"/>
  <c r="G98" i="5"/>
  <c r="H99" i="5"/>
  <c r="G99" i="5"/>
  <c r="H100" i="5"/>
  <c r="G100" i="5"/>
  <c r="H101" i="5"/>
  <c r="G101" i="5"/>
  <c r="H102" i="5"/>
  <c r="G102" i="5"/>
  <c r="H103" i="5"/>
  <c r="G103" i="5"/>
  <c r="H104" i="5"/>
  <c r="G104" i="5"/>
  <c r="H105" i="5"/>
  <c r="G105" i="5"/>
  <c r="H106" i="5"/>
  <c r="G106" i="5"/>
  <c r="H107" i="5"/>
  <c r="G107" i="5"/>
  <c r="H108" i="5"/>
  <c r="G108" i="5"/>
  <c r="H109" i="5"/>
  <c r="G109" i="5"/>
  <c r="H110" i="5"/>
  <c r="G110" i="5"/>
  <c r="H111" i="5"/>
  <c r="G111" i="5"/>
  <c r="H112" i="5"/>
  <c r="G112" i="5"/>
  <c r="H113" i="5"/>
  <c r="G113" i="5"/>
  <c r="H114" i="5"/>
  <c r="G114" i="5"/>
  <c r="H115" i="5"/>
  <c r="G115" i="5"/>
  <c r="H116" i="5"/>
  <c r="G116" i="5"/>
  <c r="H117" i="5"/>
  <c r="G117" i="5"/>
  <c r="H118" i="5"/>
  <c r="G118" i="5"/>
  <c r="H119" i="5"/>
  <c r="G119" i="5"/>
  <c r="H120" i="5"/>
  <c r="G120" i="5"/>
  <c r="H121" i="5"/>
  <c r="G121" i="5"/>
  <c r="H122" i="5"/>
  <c r="G122" i="5"/>
  <c r="H123" i="5"/>
  <c r="G123" i="5"/>
  <c r="H124" i="5"/>
  <c r="G124" i="5"/>
  <c r="H125" i="5"/>
  <c r="G125" i="5"/>
  <c r="H126" i="5"/>
  <c r="G126" i="5"/>
  <c r="H127" i="5"/>
  <c r="G127" i="5"/>
  <c r="H128" i="5"/>
  <c r="G128" i="5"/>
  <c r="H129" i="5"/>
  <c r="G129" i="5"/>
  <c r="H130" i="5"/>
  <c r="G130" i="5"/>
  <c r="H131" i="5"/>
  <c r="G131" i="5"/>
  <c r="H132" i="5"/>
  <c r="G132" i="5"/>
  <c r="H133" i="5"/>
  <c r="G133" i="5"/>
  <c r="H134" i="5"/>
  <c r="G134" i="5"/>
  <c r="H135" i="5"/>
  <c r="G135" i="5"/>
  <c r="H136" i="5"/>
  <c r="G136" i="5"/>
  <c r="H137" i="5"/>
  <c r="G137" i="5"/>
  <c r="H138" i="5"/>
  <c r="G138" i="5"/>
  <c r="H139" i="5"/>
  <c r="G139" i="5"/>
  <c r="H140" i="5"/>
  <c r="G140" i="5"/>
  <c r="H141" i="5"/>
  <c r="G141" i="5"/>
  <c r="H142" i="5"/>
  <c r="G142" i="5"/>
  <c r="H143" i="5"/>
  <c r="G143" i="5"/>
  <c r="H144" i="5"/>
  <c r="G144" i="5"/>
  <c r="H145" i="5"/>
  <c r="G145" i="5"/>
  <c r="H146" i="5"/>
  <c r="G146" i="5"/>
  <c r="H147" i="5"/>
  <c r="G147" i="5"/>
  <c r="H148" i="5"/>
  <c r="G148" i="5"/>
  <c r="H149" i="5"/>
  <c r="G149" i="5"/>
  <c r="H150" i="5"/>
  <c r="G150" i="5"/>
  <c r="H151" i="5"/>
  <c r="G151" i="5"/>
  <c r="H152" i="5"/>
  <c r="G152" i="5"/>
  <c r="H153" i="5"/>
  <c r="G153" i="5"/>
  <c r="H154" i="5"/>
  <c r="G154" i="5"/>
  <c r="H155" i="5"/>
  <c r="G155" i="5"/>
  <c r="H156" i="5"/>
  <c r="G156" i="5"/>
  <c r="H157" i="5"/>
  <c r="G157" i="5"/>
  <c r="H158" i="5"/>
  <c r="G158" i="5"/>
  <c r="H159" i="5"/>
  <c r="G159" i="5"/>
  <c r="H160" i="5"/>
  <c r="G160" i="5"/>
  <c r="H161" i="5"/>
  <c r="G161" i="5"/>
  <c r="H162" i="5"/>
  <c r="G162" i="5"/>
  <c r="H163" i="5"/>
  <c r="G163" i="5"/>
  <c r="H164" i="5"/>
  <c r="G164" i="5"/>
  <c r="H165" i="5"/>
  <c r="G165" i="5"/>
  <c r="H166" i="5"/>
  <c r="G166" i="5"/>
  <c r="H167" i="5"/>
  <c r="G167" i="5"/>
  <c r="H168" i="5"/>
  <c r="G168" i="5"/>
  <c r="H169" i="5"/>
  <c r="G169" i="5"/>
  <c r="H170" i="5"/>
  <c r="G170" i="5"/>
  <c r="H171" i="5"/>
  <c r="G171" i="5"/>
  <c r="H172" i="5"/>
  <c r="G172" i="5"/>
  <c r="H173" i="5"/>
  <c r="G173" i="5"/>
  <c r="H174" i="5"/>
  <c r="G174" i="5"/>
  <c r="H175" i="5"/>
  <c r="G175" i="5"/>
  <c r="H176" i="5"/>
  <c r="G176" i="5"/>
  <c r="H177" i="5"/>
  <c r="G177" i="5"/>
  <c r="H178" i="5"/>
  <c r="G178" i="5"/>
  <c r="H179" i="5"/>
  <c r="G179" i="5"/>
  <c r="H180" i="5"/>
  <c r="G180" i="5"/>
  <c r="H181" i="5"/>
  <c r="G181" i="5"/>
  <c r="H182" i="5"/>
  <c r="G182" i="5"/>
  <c r="H183" i="5"/>
  <c r="G183" i="5"/>
  <c r="H184" i="5"/>
  <c r="G184" i="5"/>
  <c r="H185" i="5"/>
  <c r="G185" i="5"/>
  <c r="H186" i="5"/>
  <c r="G186" i="5"/>
  <c r="H187" i="5"/>
  <c r="G187" i="5"/>
  <c r="H188" i="5"/>
  <c r="G188" i="5"/>
  <c r="H189" i="5"/>
  <c r="G189" i="5"/>
  <c r="H190" i="5"/>
  <c r="G190" i="5"/>
  <c r="H191" i="5"/>
  <c r="G191" i="5"/>
  <c r="H192" i="5"/>
  <c r="G192" i="5"/>
  <c r="H193" i="5"/>
  <c r="G193" i="5"/>
  <c r="H194" i="5"/>
  <c r="G194" i="5"/>
  <c r="H195" i="5"/>
  <c r="G195" i="5"/>
  <c r="H196" i="5"/>
  <c r="G196" i="5"/>
  <c r="H197" i="5"/>
  <c r="G197" i="5"/>
  <c r="H198" i="5"/>
  <c r="G198" i="5"/>
  <c r="H199" i="5"/>
  <c r="G199" i="5"/>
  <c r="H200" i="5"/>
  <c r="G200" i="5"/>
  <c r="H201" i="5"/>
  <c r="G201" i="5"/>
  <c r="H202" i="5"/>
  <c r="G202" i="5"/>
  <c r="H203" i="5"/>
  <c r="G203" i="5"/>
  <c r="H204" i="5"/>
  <c r="G204" i="5"/>
  <c r="H205" i="5"/>
  <c r="G205" i="5"/>
  <c r="H206" i="5"/>
  <c r="G206" i="5"/>
  <c r="H207" i="5"/>
  <c r="G207" i="5"/>
  <c r="H208" i="5"/>
  <c r="G208" i="5"/>
  <c r="H209" i="5"/>
  <c r="G209" i="5"/>
  <c r="H210" i="5"/>
  <c r="G210" i="5"/>
  <c r="H211" i="5"/>
  <c r="G211" i="5"/>
  <c r="H212" i="5"/>
  <c r="G212" i="5"/>
  <c r="H213" i="5"/>
  <c r="G213" i="5"/>
  <c r="H214" i="5"/>
  <c r="G214" i="5"/>
  <c r="H215" i="5"/>
  <c r="G215" i="5"/>
  <c r="H216" i="5"/>
  <c r="G216" i="5"/>
  <c r="H217" i="5"/>
  <c r="G217" i="5"/>
  <c r="H218" i="5"/>
  <c r="G218" i="5"/>
  <c r="H219" i="5"/>
  <c r="G219" i="5"/>
  <c r="H220" i="5"/>
  <c r="G220" i="5"/>
  <c r="H221" i="5"/>
  <c r="G221" i="5"/>
  <c r="H222" i="5"/>
  <c r="G222" i="5"/>
  <c r="H223" i="5"/>
  <c r="G223" i="5"/>
  <c r="H224" i="5"/>
  <c r="G224" i="5"/>
  <c r="H225" i="5"/>
  <c r="G225" i="5"/>
  <c r="H226" i="5"/>
  <c r="G226" i="5"/>
  <c r="H227" i="5"/>
  <c r="G227" i="5"/>
  <c r="H228" i="5"/>
  <c r="G228" i="5"/>
  <c r="H229" i="5"/>
  <c r="G229" i="5"/>
  <c r="H230" i="5"/>
  <c r="G230" i="5"/>
  <c r="H231" i="5"/>
  <c r="G231" i="5"/>
  <c r="H232" i="5"/>
  <c r="G232" i="5"/>
  <c r="H233" i="5"/>
  <c r="G233" i="5"/>
  <c r="H234" i="5"/>
  <c r="G234" i="5"/>
  <c r="H235" i="5"/>
  <c r="G235" i="5"/>
  <c r="H236" i="5"/>
  <c r="G236" i="5"/>
  <c r="H237" i="5"/>
  <c r="G237" i="5"/>
  <c r="H238" i="5"/>
  <c r="G238" i="5"/>
  <c r="H239" i="5"/>
  <c r="G239" i="5"/>
  <c r="H240" i="5"/>
  <c r="G240" i="5"/>
  <c r="H241" i="5"/>
  <c r="G241" i="5"/>
  <c r="H242" i="5"/>
  <c r="G242" i="5"/>
  <c r="H243" i="5"/>
  <c r="G243" i="5"/>
  <c r="H244" i="5"/>
  <c r="G244" i="5"/>
  <c r="H245" i="5"/>
  <c r="G245" i="5"/>
  <c r="H246" i="5"/>
  <c r="G246" i="5"/>
  <c r="H247" i="5"/>
  <c r="G247" i="5"/>
  <c r="H248" i="5"/>
  <c r="G248" i="5"/>
  <c r="H249" i="5"/>
  <c r="G249" i="5"/>
  <c r="H250" i="5"/>
  <c r="G250" i="5"/>
  <c r="H251" i="5"/>
  <c r="G251" i="5"/>
  <c r="H252" i="5"/>
  <c r="G252" i="5"/>
  <c r="H253" i="5"/>
  <c r="G253" i="5"/>
  <c r="H254" i="5"/>
  <c r="G254" i="5"/>
  <c r="H255" i="5"/>
  <c r="G255" i="5"/>
  <c r="H256" i="5"/>
  <c r="G256" i="5"/>
  <c r="H257" i="5"/>
  <c r="G257" i="5"/>
  <c r="H258" i="5"/>
  <c r="G258" i="5"/>
  <c r="H259" i="5"/>
  <c r="G259" i="5"/>
  <c r="H260" i="5"/>
  <c r="G260" i="5"/>
  <c r="H261" i="5"/>
  <c r="G261" i="5"/>
  <c r="H262" i="5"/>
  <c r="G262" i="5"/>
  <c r="H263" i="5"/>
  <c r="G263" i="5"/>
  <c r="H264" i="5"/>
  <c r="G264" i="5"/>
  <c r="H265" i="5"/>
  <c r="G265" i="5"/>
  <c r="H266" i="5"/>
  <c r="G266" i="5"/>
  <c r="H267" i="5"/>
  <c r="G267" i="5"/>
  <c r="H268" i="5"/>
  <c r="G268" i="5"/>
  <c r="H269" i="5"/>
  <c r="G269" i="5"/>
  <c r="H270" i="5"/>
  <c r="G270" i="5"/>
  <c r="H271" i="5"/>
  <c r="G271" i="5"/>
  <c r="H272" i="5"/>
  <c r="G272" i="5"/>
  <c r="H273" i="5"/>
  <c r="G273" i="5"/>
  <c r="H274" i="5"/>
  <c r="G274" i="5"/>
  <c r="H275" i="5"/>
  <c r="G275" i="5"/>
  <c r="H276" i="5"/>
  <c r="G276" i="5"/>
  <c r="H277" i="5"/>
  <c r="G277" i="5"/>
  <c r="H278" i="5"/>
  <c r="G278" i="5"/>
  <c r="H279" i="5"/>
  <c r="G279" i="5"/>
  <c r="H280" i="5"/>
  <c r="G280" i="5"/>
  <c r="H281" i="5"/>
  <c r="G281" i="5"/>
  <c r="H282" i="5"/>
  <c r="G282" i="5"/>
  <c r="H283" i="5"/>
  <c r="G283" i="5"/>
  <c r="H284" i="5"/>
  <c r="G284" i="5"/>
  <c r="H285" i="5"/>
  <c r="G285" i="5"/>
  <c r="H286" i="5"/>
  <c r="G286" i="5"/>
  <c r="H287" i="5"/>
  <c r="G287" i="5"/>
  <c r="H288" i="5"/>
  <c r="G288" i="5"/>
  <c r="H289" i="5"/>
  <c r="G289" i="5"/>
  <c r="H290" i="5"/>
  <c r="G290" i="5"/>
  <c r="H291" i="5"/>
  <c r="G291" i="5"/>
  <c r="H292" i="5"/>
  <c r="G292" i="5"/>
  <c r="H293" i="5"/>
  <c r="G293" i="5"/>
  <c r="H294" i="5"/>
  <c r="G294" i="5"/>
  <c r="H295" i="5"/>
  <c r="G295" i="5"/>
  <c r="H296" i="5"/>
  <c r="G296" i="5"/>
  <c r="H297" i="5"/>
  <c r="G297" i="5"/>
  <c r="H298" i="5"/>
  <c r="G298" i="5"/>
  <c r="H299" i="5"/>
  <c r="G299" i="5"/>
  <c r="H300" i="5"/>
  <c r="G300" i="5"/>
  <c r="H301" i="5"/>
  <c r="G301" i="5"/>
  <c r="H302" i="5"/>
  <c r="G302" i="5"/>
  <c r="H303" i="5"/>
  <c r="G303" i="5"/>
  <c r="H304" i="5"/>
  <c r="G304" i="5"/>
  <c r="H305" i="5"/>
  <c r="G305" i="5"/>
  <c r="H306" i="5"/>
  <c r="G306" i="5"/>
  <c r="H307" i="5"/>
  <c r="G307" i="5"/>
  <c r="H308" i="5"/>
  <c r="G308" i="5"/>
  <c r="H309" i="5"/>
  <c r="G309" i="5"/>
  <c r="H310" i="5"/>
  <c r="G310" i="5"/>
  <c r="H311" i="5"/>
  <c r="G311" i="5"/>
  <c r="H312" i="5"/>
  <c r="G312" i="5"/>
  <c r="H313" i="5"/>
  <c r="G313" i="5"/>
  <c r="H314" i="5"/>
  <c r="G314" i="5"/>
  <c r="H315" i="5"/>
  <c r="G315" i="5"/>
  <c r="H316" i="5"/>
  <c r="G316" i="5"/>
  <c r="H317" i="5"/>
  <c r="G317" i="5"/>
  <c r="H318" i="5"/>
  <c r="G318" i="5"/>
  <c r="H319" i="5"/>
  <c r="G319" i="5"/>
  <c r="H320" i="5"/>
  <c r="G320" i="5"/>
  <c r="H321" i="5"/>
  <c r="G321" i="5"/>
  <c r="H322" i="5"/>
  <c r="G322" i="5"/>
  <c r="H323" i="5"/>
  <c r="G323" i="5"/>
  <c r="H324" i="5"/>
  <c r="G324" i="5"/>
  <c r="H325" i="5"/>
  <c r="G325" i="5"/>
  <c r="H326" i="5"/>
  <c r="G326" i="5"/>
  <c r="H327" i="5"/>
  <c r="G327" i="5"/>
  <c r="H328" i="5"/>
  <c r="G328" i="5"/>
  <c r="H329" i="5"/>
  <c r="G329" i="5"/>
  <c r="H330" i="5"/>
  <c r="G330" i="5"/>
  <c r="H331" i="5"/>
  <c r="G331" i="5"/>
  <c r="H332" i="5"/>
  <c r="G332" i="5"/>
  <c r="H333" i="5"/>
  <c r="G333" i="5"/>
  <c r="H334" i="5"/>
  <c r="G334" i="5"/>
  <c r="H335" i="5"/>
  <c r="G335" i="5"/>
  <c r="H336" i="5"/>
  <c r="G336" i="5"/>
  <c r="H337" i="5"/>
  <c r="G337" i="5"/>
  <c r="H338" i="5"/>
  <c r="G338" i="5"/>
  <c r="H339" i="5"/>
  <c r="G339" i="5"/>
  <c r="H340" i="5"/>
  <c r="G340" i="5"/>
  <c r="H341" i="5"/>
  <c r="G341" i="5"/>
  <c r="H342" i="5"/>
  <c r="G342" i="5"/>
  <c r="H343" i="5"/>
  <c r="G343" i="5"/>
  <c r="H344" i="5"/>
  <c r="G344" i="5"/>
  <c r="H345" i="5"/>
  <c r="G345" i="5"/>
  <c r="H346" i="5"/>
  <c r="G346" i="5"/>
  <c r="H347" i="5"/>
  <c r="G347" i="5"/>
  <c r="H348" i="5"/>
  <c r="G348" i="5"/>
  <c r="H349" i="5"/>
  <c r="G349" i="5"/>
  <c r="H350" i="5"/>
  <c r="G350" i="5"/>
  <c r="H351" i="5"/>
  <c r="G351" i="5"/>
  <c r="H352" i="5"/>
  <c r="G352" i="5"/>
  <c r="H353" i="5"/>
  <c r="G353" i="5"/>
  <c r="H354" i="5"/>
  <c r="G354" i="5"/>
  <c r="H355" i="5"/>
  <c r="G355" i="5"/>
  <c r="H356" i="5"/>
  <c r="G356" i="5"/>
  <c r="H357" i="5"/>
  <c r="G357" i="5"/>
  <c r="H358" i="5"/>
  <c r="G358" i="5"/>
  <c r="H359" i="5"/>
  <c r="G359" i="5"/>
  <c r="H360" i="5"/>
  <c r="G360" i="5"/>
  <c r="H361" i="5"/>
  <c r="G361" i="5"/>
  <c r="H362" i="5"/>
  <c r="G362" i="5"/>
  <c r="H363" i="5"/>
  <c r="G363" i="5"/>
  <c r="H364" i="5"/>
  <c r="G364" i="5"/>
  <c r="H365" i="5"/>
  <c r="G365" i="5"/>
  <c r="H366" i="5"/>
  <c r="G366" i="5"/>
  <c r="H367" i="5"/>
  <c r="G367" i="5"/>
  <c r="H368" i="5"/>
  <c r="G368" i="5"/>
  <c r="H369" i="5"/>
  <c r="G369" i="5"/>
  <c r="H370" i="5"/>
  <c r="G370" i="5"/>
  <c r="H371" i="5"/>
  <c r="G371" i="5"/>
  <c r="H372" i="5"/>
  <c r="G372" i="5"/>
  <c r="H373" i="5"/>
  <c r="G373" i="5"/>
  <c r="H374" i="5"/>
  <c r="G374" i="5"/>
  <c r="H375" i="5"/>
  <c r="G375" i="5"/>
  <c r="H376" i="5"/>
  <c r="G376" i="5"/>
  <c r="H377" i="5"/>
  <c r="G377" i="5"/>
  <c r="H378" i="5"/>
  <c r="G378" i="5"/>
  <c r="H379" i="5"/>
  <c r="G379" i="5"/>
  <c r="H380" i="5"/>
  <c r="G380" i="5"/>
  <c r="H381" i="5"/>
  <c r="G381" i="5"/>
  <c r="H382" i="5"/>
  <c r="G382" i="5"/>
  <c r="H383" i="5"/>
  <c r="G383" i="5"/>
  <c r="H384" i="5"/>
  <c r="G384" i="5"/>
  <c r="H385" i="5"/>
  <c r="G385" i="5"/>
  <c r="H386" i="5"/>
  <c r="G386" i="5"/>
  <c r="H387" i="5"/>
  <c r="G387" i="5"/>
  <c r="H388" i="5"/>
  <c r="G388" i="5"/>
  <c r="H389" i="5"/>
  <c r="G389" i="5"/>
  <c r="H390" i="5"/>
  <c r="G390" i="5"/>
  <c r="H391" i="5"/>
  <c r="G391" i="5"/>
  <c r="H392" i="5"/>
  <c r="G392" i="5"/>
  <c r="H393" i="5"/>
  <c r="G393" i="5"/>
  <c r="H394" i="5"/>
  <c r="G394" i="5"/>
  <c r="H395" i="5"/>
  <c r="G395" i="5"/>
  <c r="H396" i="5"/>
  <c r="G396" i="5"/>
  <c r="H397" i="5"/>
  <c r="G397" i="5"/>
  <c r="H398" i="5"/>
  <c r="G398" i="5"/>
  <c r="H399" i="5"/>
  <c r="G399" i="5"/>
  <c r="H400" i="5"/>
  <c r="G400" i="5"/>
  <c r="H401" i="5"/>
  <c r="G401" i="5"/>
  <c r="H402" i="5"/>
  <c r="G402" i="5"/>
  <c r="H403" i="5"/>
  <c r="G403" i="5"/>
  <c r="H404" i="5"/>
  <c r="G404" i="5"/>
  <c r="H405" i="5"/>
  <c r="G405" i="5"/>
  <c r="H406" i="5"/>
  <c r="G406" i="5"/>
  <c r="H407" i="5"/>
  <c r="G407" i="5"/>
  <c r="H408" i="5"/>
  <c r="G408" i="5"/>
  <c r="H409" i="5"/>
  <c r="G409" i="5"/>
  <c r="H410" i="5"/>
  <c r="G410" i="5"/>
  <c r="H411" i="5"/>
  <c r="G411" i="5"/>
  <c r="H412" i="5"/>
  <c r="G412" i="5"/>
  <c r="H413" i="5"/>
  <c r="G413" i="5"/>
  <c r="H414" i="5"/>
  <c r="G414" i="5"/>
  <c r="H415" i="5"/>
  <c r="G415" i="5"/>
  <c r="H416" i="5"/>
  <c r="G416" i="5"/>
  <c r="H417" i="5"/>
  <c r="G417" i="5"/>
  <c r="H418" i="5"/>
  <c r="G418" i="5"/>
  <c r="H419" i="5"/>
  <c r="G419" i="5"/>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A3" i="5"/>
  <c r="F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N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A2" i="6"/>
  <c r="W3" i="5"/>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2" i="6"/>
  <c r="B419" i="6"/>
  <c r="B418" i="6"/>
  <c r="E418" i="6"/>
  <c r="B417" i="6"/>
  <c r="E417" i="6"/>
  <c r="B416" i="6"/>
  <c r="E416" i="6"/>
  <c r="B415" i="6"/>
  <c r="E415" i="6"/>
  <c r="B414" i="6"/>
  <c r="E414" i="6"/>
  <c r="B413" i="6"/>
  <c r="D413" i="6"/>
  <c r="B412" i="6"/>
  <c r="E412" i="6"/>
  <c r="B411" i="6"/>
  <c r="D411" i="6"/>
  <c r="B410" i="6"/>
  <c r="B409" i="6"/>
  <c r="B408" i="6"/>
  <c r="E408" i="6"/>
  <c r="B407" i="6"/>
  <c r="E407" i="6"/>
  <c r="B406" i="6"/>
  <c r="E406" i="6"/>
  <c r="B405" i="6"/>
  <c r="D405" i="6"/>
  <c r="B404" i="6"/>
  <c r="E404" i="6"/>
  <c r="B403" i="6"/>
  <c r="D403" i="6"/>
  <c r="B402" i="6"/>
  <c r="B401" i="6"/>
  <c r="B400" i="6"/>
  <c r="E400" i="6"/>
  <c r="B399" i="6"/>
  <c r="E399" i="6"/>
  <c r="B398" i="6"/>
  <c r="E398" i="6"/>
  <c r="B397" i="6"/>
  <c r="D397" i="6"/>
  <c r="B396" i="6"/>
  <c r="E396" i="6"/>
  <c r="B395" i="6"/>
  <c r="D395" i="6"/>
  <c r="B394" i="6"/>
  <c r="B393" i="6"/>
  <c r="B392" i="6"/>
  <c r="E392" i="6"/>
  <c r="B391" i="6"/>
  <c r="E391" i="6"/>
  <c r="B390" i="6"/>
  <c r="E390" i="6"/>
  <c r="B389" i="6"/>
  <c r="D389" i="6"/>
  <c r="B388" i="6"/>
  <c r="E388" i="6"/>
  <c r="B387" i="6"/>
  <c r="D387" i="6"/>
  <c r="B386" i="6"/>
  <c r="B385" i="6"/>
  <c r="B384" i="6"/>
  <c r="E384" i="6"/>
  <c r="B383" i="6"/>
  <c r="E383" i="6"/>
  <c r="B382" i="6"/>
  <c r="E382" i="6"/>
  <c r="B381" i="6"/>
  <c r="D381" i="6"/>
  <c r="B380" i="6"/>
  <c r="E380" i="6"/>
  <c r="B379" i="6"/>
  <c r="D379" i="6"/>
  <c r="B378" i="6"/>
  <c r="B377" i="6"/>
  <c r="B376" i="6"/>
  <c r="E376" i="6"/>
  <c r="B375" i="6"/>
  <c r="E375" i="6"/>
  <c r="B374" i="6"/>
  <c r="E374" i="6"/>
  <c r="B373" i="6"/>
  <c r="D373" i="6"/>
  <c r="B372" i="6"/>
  <c r="E372" i="6"/>
  <c r="B371" i="6"/>
  <c r="D371" i="6"/>
  <c r="B370" i="6"/>
  <c r="B369" i="6"/>
  <c r="B368" i="6"/>
  <c r="E368" i="6"/>
  <c r="B367" i="6"/>
  <c r="E367" i="6"/>
  <c r="B366" i="6"/>
  <c r="E366" i="6"/>
  <c r="B365" i="6"/>
  <c r="D365" i="6"/>
  <c r="B364" i="6"/>
  <c r="E364" i="6"/>
  <c r="B363" i="6"/>
  <c r="D363" i="6"/>
  <c r="B362" i="6"/>
  <c r="B361" i="6"/>
  <c r="B360" i="6"/>
  <c r="E360" i="6"/>
  <c r="B359" i="6"/>
  <c r="D359" i="6"/>
  <c r="B358" i="6"/>
  <c r="E358" i="6"/>
  <c r="B357" i="6"/>
  <c r="B356" i="6"/>
  <c r="E356" i="6"/>
  <c r="B355" i="6"/>
  <c r="E355" i="6"/>
  <c r="B354" i="6"/>
  <c r="E354" i="6"/>
  <c r="B353" i="6"/>
  <c r="E353" i="6"/>
  <c r="B352" i="6"/>
  <c r="E352" i="6"/>
  <c r="B351" i="6"/>
  <c r="E351" i="6"/>
  <c r="B350" i="6"/>
  <c r="E350" i="6"/>
  <c r="B349" i="6"/>
  <c r="E349" i="6"/>
  <c r="B348" i="6"/>
  <c r="B347" i="6"/>
  <c r="B346" i="6"/>
  <c r="E346" i="6"/>
  <c r="B345" i="6"/>
  <c r="E345" i="6"/>
  <c r="B344" i="6"/>
  <c r="E344" i="6"/>
  <c r="B343" i="6"/>
  <c r="E343" i="6"/>
  <c r="B342" i="6"/>
  <c r="E342" i="6"/>
  <c r="B341" i="6"/>
  <c r="E341" i="6"/>
  <c r="B340" i="6"/>
  <c r="E340" i="6"/>
  <c r="B339" i="6"/>
  <c r="D339" i="6"/>
  <c r="B338" i="6"/>
  <c r="E338" i="6"/>
  <c r="B337" i="6"/>
  <c r="E337" i="6"/>
  <c r="B336" i="6"/>
  <c r="E336" i="6"/>
  <c r="B335" i="6"/>
  <c r="E335" i="6"/>
  <c r="B334" i="6"/>
  <c r="E334" i="6"/>
  <c r="B333" i="6"/>
  <c r="D333" i="6"/>
  <c r="B332" i="6"/>
  <c r="B331" i="6"/>
  <c r="B330" i="6"/>
  <c r="E330" i="6"/>
  <c r="B329" i="6"/>
  <c r="E329" i="6"/>
  <c r="B328" i="6"/>
  <c r="E328" i="6"/>
  <c r="B327" i="6"/>
  <c r="D327" i="6"/>
  <c r="B326" i="6"/>
  <c r="E326" i="6"/>
  <c r="B325" i="6"/>
  <c r="E325" i="6"/>
  <c r="B324" i="6"/>
  <c r="E324" i="6"/>
  <c r="B323" i="6"/>
  <c r="E323" i="6"/>
  <c r="B322" i="6"/>
  <c r="E322" i="6"/>
  <c r="B321" i="6"/>
  <c r="E321" i="6"/>
  <c r="B320" i="6"/>
  <c r="E320" i="6"/>
  <c r="B319" i="6"/>
  <c r="E319" i="6"/>
  <c r="B318" i="6"/>
  <c r="E318" i="6"/>
  <c r="B317" i="6"/>
  <c r="E317" i="6"/>
  <c r="B316" i="6"/>
  <c r="B315" i="6"/>
  <c r="B314" i="6"/>
  <c r="E314" i="6"/>
  <c r="B313" i="6"/>
  <c r="E313" i="6"/>
  <c r="B312" i="6"/>
  <c r="E312" i="6"/>
  <c r="B311" i="6"/>
  <c r="E311" i="6"/>
  <c r="B310" i="6"/>
  <c r="E310" i="6"/>
  <c r="B309" i="6"/>
  <c r="E309" i="6"/>
  <c r="B308" i="6"/>
  <c r="E308" i="6"/>
  <c r="B307" i="6"/>
  <c r="D307" i="6"/>
  <c r="B306" i="6"/>
  <c r="E306" i="6"/>
  <c r="B305" i="6"/>
  <c r="E305" i="6"/>
  <c r="B304" i="6"/>
  <c r="E304" i="6"/>
  <c r="B303" i="6"/>
  <c r="D303" i="6"/>
  <c r="B302" i="6"/>
  <c r="E302" i="6"/>
  <c r="B301" i="6"/>
  <c r="E301" i="6"/>
  <c r="B300" i="6"/>
  <c r="B299" i="6"/>
  <c r="B298" i="6"/>
  <c r="E298" i="6"/>
  <c r="B297" i="6"/>
  <c r="D297" i="6"/>
  <c r="B296" i="6"/>
  <c r="E296" i="6"/>
  <c r="B295" i="6"/>
  <c r="E295" i="6"/>
  <c r="B294" i="6"/>
  <c r="E294" i="6"/>
  <c r="B293" i="6"/>
  <c r="D293" i="6"/>
  <c r="B292" i="6"/>
  <c r="E292" i="6"/>
  <c r="B291" i="6"/>
  <c r="D291" i="6"/>
  <c r="B290" i="6"/>
  <c r="E290" i="6"/>
  <c r="B289" i="6"/>
  <c r="E289" i="6"/>
  <c r="B288" i="6"/>
  <c r="E288" i="6"/>
  <c r="B287" i="6"/>
  <c r="D287" i="6"/>
  <c r="B286" i="6"/>
  <c r="E286" i="6"/>
  <c r="B285" i="6"/>
  <c r="E285" i="6"/>
  <c r="B284" i="6"/>
  <c r="B283" i="6"/>
  <c r="B282" i="6"/>
  <c r="E282" i="6"/>
  <c r="B281" i="6"/>
  <c r="D281" i="6"/>
  <c r="B280" i="6"/>
  <c r="E280" i="6"/>
  <c r="B279" i="6"/>
  <c r="E279" i="6"/>
  <c r="B278" i="6"/>
  <c r="E278" i="6"/>
  <c r="B277" i="6"/>
  <c r="D277" i="6"/>
  <c r="B276" i="6"/>
  <c r="E276" i="6"/>
  <c r="B275" i="6"/>
  <c r="D275" i="6"/>
  <c r="B274" i="6"/>
  <c r="E274" i="6"/>
  <c r="B273" i="6"/>
  <c r="E273" i="6"/>
  <c r="B272" i="6"/>
  <c r="E272" i="6"/>
  <c r="B271" i="6"/>
  <c r="D271" i="6"/>
  <c r="B270" i="6"/>
  <c r="E270" i="6"/>
  <c r="B269" i="6"/>
  <c r="E269" i="6"/>
  <c r="B268" i="6"/>
  <c r="B267" i="6"/>
  <c r="B266" i="6"/>
  <c r="E266" i="6"/>
  <c r="B265" i="6"/>
  <c r="D265" i="6"/>
  <c r="B264" i="6"/>
  <c r="E264" i="6"/>
  <c r="B263" i="6"/>
  <c r="E263" i="6"/>
  <c r="B262" i="6"/>
  <c r="E262" i="6"/>
  <c r="B261" i="6"/>
  <c r="D261" i="6"/>
  <c r="B260" i="6"/>
  <c r="E260" i="6"/>
  <c r="B259" i="6"/>
  <c r="D259" i="6"/>
  <c r="B258" i="6"/>
  <c r="E258" i="6"/>
  <c r="B257" i="6"/>
  <c r="E257" i="6"/>
  <c r="B256" i="6"/>
  <c r="E256" i="6"/>
  <c r="B255" i="6"/>
  <c r="D255" i="6"/>
  <c r="B254" i="6"/>
  <c r="E254" i="6"/>
  <c r="B253" i="6"/>
  <c r="E253" i="6"/>
  <c r="B252" i="6"/>
  <c r="B251" i="6"/>
  <c r="B250" i="6"/>
  <c r="E250" i="6"/>
  <c r="B249" i="6"/>
  <c r="D249" i="6"/>
  <c r="B248" i="6"/>
  <c r="E248" i="6"/>
  <c r="B247" i="6"/>
  <c r="B246" i="6"/>
  <c r="E246" i="6"/>
  <c r="B245" i="6"/>
  <c r="D245" i="6"/>
  <c r="B244" i="6"/>
  <c r="E244" i="6"/>
  <c r="B243" i="6"/>
  <c r="B242" i="6"/>
  <c r="E242" i="6"/>
  <c r="B241" i="6"/>
  <c r="D241" i="6"/>
  <c r="B240" i="6"/>
  <c r="E240" i="6"/>
  <c r="B239" i="6"/>
  <c r="B238" i="6"/>
  <c r="E238" i="6"/>
  <c r="B237" i="6"/>
  <c r="D237" i="6"/>
  <c r="B236" i="6"/>
  <c r="E236" i="6"/>
  <c r="B235" i="6"/>
  <c r="D235" i="6"/>
  <c r="B234" i="6"/>
  <c r="E234" i="6"/>
  <c r="B233" i="6"/>
  <c r="D233" i="6"/>
  <c r="B232" i="6"/>
  <c r="E232" i="6"/>
  <c r="B231" i="6"/>
  <c r="D231" i="6"/>
  <c r="B230" i="6"/>
  <c r="E230" i="6"/>
  <c r="B229" i="6"/>
  <c r="B228" i="6"/>
  <c r="E228" i="6"/>
  <c r="B227" i="6"/>
  <c r="D227" i="6"/>
  <c r="B226" i="6"/>
  <c r="B225" i="6"/>
  <c r="D225" i="6"/>
  <c r="B224" i="6"/>
  <c r="E224" i="6"/>
  <c r="B223" i="6"/>
  <c r="B222" i="6"/>
  <c r="E222" i="6"/>
  <c r="B221" i="6"/>
  <c r="D221" i="6"/>
  <c r="B220" i="6"/>
  <c r="E220" i="6"/>
  <c r="B219" i="6"/>
  <c r="D219" i="6"/>
  <c r="B218" i="6"/>
  <c r="E218" i="6"/>
  <c r="B217" i="6"/>
  <c r="D217" i="6"/>
  <c r="B216" i="6"/>
  <c r="E216" i="6"/>
  <c r="B215" i="6"/>
  <c r="D215" i="6"/>
  <c r="B214" i="6"/>
  <c r="E214" i="6"/>
  <c r="B213" i="6"/>
  <c r="B212" i="6"/>
  <c r="E212" i="6"/>
  <c r="B211" i="6"/>
  <c r="D211" i="6"/>
  <c r="B210" i="6"/>
  <c r="B209" i="6"/>
  <c r="D209" i="6"/>
  <c r="B208" i="6"/>
  <c r="E208" i="6"/>
  <c r="B207" i="6"/>
  <c r="B206" i="6"/>
  <c r="E206" i="6"/>
  <c r="B205" i="6"/>
  <c r="D205" i="6"/>
  <c r="B204" i="6"/>
  <c r="E204" i="6"/>
  <c r="B203" i="6"/>
  <c r="D203" i="6"/>
  <c r="B202" i="6"/>
  <c r="E202" i="6"/>
  <c r="B201" i="6"/>
  <c r="D201" i="6"/>
  <c r="B200" i="6"/>
  <c r="E200" i="6"/>
  <c r="B199" i="6"/>
  <c r="D199" i="6"/>
  <c r="B198" i="6"/>
  <c r="E198" i="6"/>
  <c r="B197" i="6"/>
  <c r="B196" i="6"/>
  <c r="E196" i="6"/>
  <c r="B195" i="6"/>
  <c r="D195" i="6"/>
  <c r="B194" i="6"/>
  <c r="B193" i="6"/>
  <c r="D193" i="6"/>
  <c r="B192" i="6"/>
  <c r="E192" i="6"/>
  <c r="B191" i="6"/>
  <c r="B190" i="6"/>
  <c r="E190" i="6"/>
  <c r="B189" i="6"/>
  <c r="D189" i="6"/>
  <c r="B188" i="6"/>
  <c r="E188" i="6"/>
  <c r="B187" i="6"/>
  <c r="D187" i="6"/>
  <c r="B186" i="6"/>
  <c r="E186" i="6"/>
  <c r="B185" i="6"/>
  <c r="D185" i="6"/>
  <c r="B184" i="6"/>
  <c r="E184" i="6"/>
  <c r="B183" i="6"/>
  <c r="D183" i="6"/>
  <c r="B182" i="6"/>
  <c r="E182" i="6"/>
  <c r="B181" i="6"/>
  <c r="B180" i="6"/>
  <c r="E180" i="6"/>
  <c r="B179" i="6"/>
  <c r="D179" i="6"/>
  <c r="B178" i="6"/>
  <c r="B177" i="6"/>
  <c r="D177" i="6"/>
  <c r="B176" i="6"/>
  <c r="E176" i="6"/>
  <c r="B175" i="6"/>
  <c r="B174" i="6"/>
  <c r="E174" i="6"/>
  <c r="B173" i="6"/>
  <c r="D173" i="6"/>
  <c r="B172" i="6"/>
  <c r="E172" i="6"/>
  <c r="B171" i="6"/>
  <c r="D171" i="6"/>
  <c r="B170" i="6"/>
  <c r="E170" i="6"/>
  <c r="B169" i="6"/>
  <c r="D169" i="6"/>
  <c r="B168" i="6"/>
  <c r="E168" i="6"/>
  <c r="B167" i="6"/>
  <c r="D167" i="6"/>
  <c r="B166" i="6"/>
  <c r="E166" i="6"/>
  <c r="B165" i="6"/>
  <c r="B164" i="6"/>
  <c r="E164" i="6"/>
  <c r="B163" i="6"/>
  <c r="D163" i="6"/>
  <c r="B162" i="6"/>
  <c r="B161" i="6"/>
  <c r="D161" i="6"/>
  <c r="B160" i="6"/>
  <c r="E160" i="6"/>
  <c r="B159" i="6"/>
  <c r="B158" i="6"/>
  <c r="E158" i="6"/>
  <c r="B157" i="6"/>
  <c r="D157" i="6"/>
  <c r="B156" i="6"/>
  <c r="E156" i="6"/>
  <c r="B155" i="6"/>
  <c r="D155" i="6"/>
  <c r="B154" i="6"/>
  <c r="E154" i="6"/>
  <c r="B153" i="6"/>
  <c r="D153" i="6"/>
  <c r="B152" i="6"/>
  <c r="E152" i="6"/>
  <c r="B151" i="6"/>
  <c r="D151" i="6"/>
  <c r="B150" i="6"/>
  <c r="E150" i="6"/>
  <c r="B149" i="6"/>
  <c r="D149" i="6"/>
  <c r="B148" i="6"/>
  <c r="E148" i="6"/>
  <c r="B147" i="6"/>
  <c r="D147" i="6"/>
  <c r="B146" i="6"/>
  <c r="E146" i="6"/>
  <c r="B145" i="6"/>
  <c r="B144" i="6"/>
  <c r="E144" i="6"/>
  <c r="B143" i="6"/>
  <c r="D143" i="6"/>
  <c r="B142" i="6"/>
  <c r="B141" i="6"/>
  <c r="D141" i="6"/>
  <c r="B140" i="6"/>
  <c r="E140" i="6"/>
  <c r="B139" i="6"/>
  <c r="B138" i="6"/>
  <c r="E138" i="6"/>
  <c r="B137" i="6"/>
  <c r="D137" i="6"/>
  <c r="B136" i="6"/>
  <c r="E136" i="6"/>
  <c r="B135" i="6"/>
  <c r="D135" i="6"/>
  <c r="B134" i="6"/>
  <c r="D134" i="6"/>
  <c r="B133" i="6"/>
  <c r="D133" i="6"/>
  <c r="B132" i="6"/>
  <c r="D132" i="6"/>
  <c r="B131" i="6"/>
  <c r="D131" i="6"/>
  <c r="B130" i="6"/>
  <c r="E130" i="6"/>
  <c r="B129" i="6"/>
  <c r="B128" i="6"/>
  <c r="E128" i="6"/>
  <c r="B127" i="6"/>
  <c r="D127" i="6"/>
  <c r="B126" i="6"/>
  <c r="B125" i="6"/>
  <c r="D125" i="6"/>
  <c r="B124" i="6"/>
  <c r="D124" i="6"/>
  <c r="B123" i="6"/>
  <c r="D123" i="6"/>
  <c r="B122" i="6"/>
  <c r="E122" i="6"/>
  <c r="B121" i="6"/>
  <c r="D121" i="6"/>
  <c r="B120" i="6"/>
  <c r="E120" i="6"/>
  <c r="B119" i="6"/>
  <c r="D119" i="6"/>
  <c r="B118" i="6"/>
  <c r="D118" i="6"/>
  <c r="B117" i="6"/>
  <c r="D117" i="6"/>
  <c r="B116" i="6"/>
  <c r="D116" i="6"/>
  <c r="B115" i="6"/>
  <c r="D115" i="6"/>
  <c r="B114" i="6"/>
  <c r="E114" i="6"/>
  <c r="B113" i="6"/>
  <c r="B112" i="6"/>
  <c r="E112" i="6"/>
  <c r="B111" i="6"/>
  <c r="D111" i="6"/>
  <c r="B110" i="6"/>
  <c r="D110" i="6"/>
  <c r="B109" i="6"/>
  <c r="D109" i="6"/>
  <c r="B108" i="6"/>
  <c r="E108" i="6"/>
  <c r="B107" i="6"/>
  <c r="E107" i="6"/>
  <c r="B106" i="6"/>
  <c r="D106" i="6"/>
  <c r="B105" i="6"/>
  <c r="E105" i="6"/>
  <c r="B104" i="6"/>
  <c r="E104" i="6"/>
  <c r="B103" i="6"/>
  <c r="E103" i="6"/>
  <c r="B102" i="6"/>
  <c r="D102" i="6"/>
  <c r="B101" i="6"/>
  <c r="E101" i="6"/>
  <c r="B100" i="6"/>
  <c r="E100" i="6"/>
  <c r="B99" i="6"/>
  <c r="E99" i="6"/>
  <c r="B98" i="6"/>
  <c r="D98" i="6"/>
  <c r="B97" i="6"/>
  <c r="E97" i="6"/>
  <c r="B96" i="6"/>
  <c r="E96" i="6"/>
  <c r="B95" i="6"/>
  <c r="B94" i="6"/>
  <c r="D94" i="6"/>
  <c r="B93" i="6"/>
  <c r="B92" i="6"/>
  <c r="E92" i="6"/>
  <c r="B91" i="6"/>
  <c r="B90" i="6"/>
  <c r="D90" i="6"/>
  <c r="B89" i="6"/>
  <c r="B88" i="6"/>
  <c r="E88" i="6"/>
  <c r="B87" i="6"/>
  <c r="B86" i="6"/>
  <c r="D86" i="6"/>
  <c r="B85" i="6"/>
  <c r="B84" i="6"/>
  <c r="E84" i="6"/>
  <c r="B83" i="6"/>
  <c r="B82" i="6"/>
  <c r="D82" i="6"/>
  <c r="B81" i="6"/>
  <c r="B80" i="6"/>
  <c r="E80" i="6"/>
  <c r="B79" i="6"/>
  <c r="B78" i="6"/>
  <c r="D78" i="6"/>
  <c r="B77" i="6"/>
  <c r="B76" i="6"/>
  <c r="E76" i="6"/>
  <c r="B75" i="6"/>
  <c r="B74" i="6"/>
  <c r="D74" i="6"/>
  <c r="B73" i="6"/>
  <c r="B72" i="6"/>
  <c r="E72" i="6"/>
  <c r="B71" i="6"/>
  <c r="B70" i="6"/>
  <c r="D70" i="6"/>
  <c r="B69" i="6"/>
  <c r="B68" i="6"/>
  <c r="E68" i="6"/>
  <c r="B67" i="6"/>
  <c r="B66" i="6"/>
  <c r="D66" i="6"/>
  <c r="B65" i="6"/>
  <c r="B64" i="6"/>
  <c r="E64" i="6"/>
  <c r="B63" i="6"/>
  <c r="B62" i="6"/>
  <c r="D62" i="6"/>
  <c r="B61" i="6"/>
  <c r="B60" i="6"/>
  <c r="E60" i="6"/>
  <c r="B59" i="6"/>
  <c r="B58" i="6"/>
  <c r="D58" i="6"/>
  <c r="B57" i="6"/>
  <c r="B56" i="6"/>
  <c r="E56" i="6"/>
  <c r="B55" i="6"/>
  <c r="B54" i="6"/>
  <c r="D54" i="6"/>
  <c r="B53" i="6"/>
  <c r="B52" i="6"/>
  <c r="E52" i="6"/>
  <c r="B51" i="6"/>
  <c r="B50" i="6"/>
  <c r="D50" i="6"/>
  <c r="B49" i="6"/>
  <c r="B48" i="6"/>
  <c r="E48" i="6"/>
  <c r="B47" i="6"/>
  <c r="B46" i="6"/>
  <c r="D46" i="6"/>
  <c r="B45" i="6"/>
  <c r="B44" i="6"/>
  <c r="E44" i="6"/>
  <c r="B43" i="6"/>
  <c r="B42" i="6"/>
  <c r="D42" i="6"/>
  <c r="B41" i="6"/>
  <c r="B40" i="6"/>
  <c r="E40" i="6"/>
  <c r="B39" i="6"/>
  <c r="B38" i="6"/>
  <c r="D38" i="6"/>
  <c r="B37" i="6"/>
  <c r="B36" i="6"/>
  <c r="E36" i="6"/>
  <c r="B35" i="6"/>
  <c r="B34" i="6"/>
  <c r="D34" i="6"/>
  <c r="B33" i="6"/>
  <c r="B32" i="6"/>
  <c r="E32" i="6"/>
  <c r="B31" i="6"/>
  <c r="E31" i="6"/>
  <c r="B30" i="6"/>
  <c r="E30" i="6"/>
  <c r="B29" i="6"/>
  <c r="E29" i="6"/>
  <c r="B28" i="6"/>
  <c r="E28" i="6"/>
  <c r="B27" i="6"/>
  <c r="E27" i="6"/>
  <c r="B26" i="6"/>
  <c r="E26" i="6"/>
  <c r="B25" i="6"/>
  <c r="E25" i="6"/>
  <c r="B24" i="6"/>
  <c r="D24" i="6"/>
  <c r="B23" i="6"/>
  <c r="E23" i="6"/>
  <c r="B22" i="6"/>
  <c r="E22" i="6"/>
  <c r="B21" i="6"/>
  <c r="E21" i="6"/>
  <c r="B20" i="6"/>
  <c r="E20" i="6"/>
  <c r="B19" i="6"/>
  <c r="E19" i="6"/>
  <c r="B18" i="6"/>
  <c r="D18" i="6"/>
  <c r="B17" i="6"/>
  <c r="E17" i="6"/>
  <c r="B16" i="6"/>
  <c r="E16" i="6"/>
  <c r="B15" i="6"/>
  <c r="E15" i="6"/>
  <c r="B14" i="6"/>
  <c r="E14" i="6"/>
  <c r="B13" i="6"/>
  <c r="E13" i="6"/>
  <c r="B12" i="6"/>
  <c r="E12" i="6"/>
  <c r="B11" i="6"/>
  <c r="E11" i="6"/>
  <c r="B10" i="6"/>
  <c r="E10" i="6"/>
  <c r="B9" i="6"/>
  <c r="E9" i="6"/>
  <c r="B8" i="6"/>
  <c r="E8" i="6"/>
  <c r="B7" i="6"/>
  <c r="D7" i="6"/>
  <c r="B6" i="6"/>
  <c r="E6" i="6"/>
  <c r="B5" i="6"/>
  <c r="E5" i="6"/>
  <c r="B4" i="6"/>
  <c r="E4" i="6"/>
  <c r="B3" i="6"/>
  <c r="E3" i="6"/>
  <c r="B2" i="6"/>
  <c r="E2" i="6"/>
  <c r="A2" i="5"/>
  <c r="B2" i="5"/>
  <c r="C2" i="5"/>
  <c r="I2" i="5"/>
  <c r="J2" i="5"/>
  <c r="K2" i="5"/>
  <c r="M2" i="5"/>
  <c r="B3" i="5"/>
  <c r="C3" i="5"/>
  <c r="I3" i="5"/>
  <c r="J3" i="5"/>
  <c r="K3" i="5"/>
  <c r="M3" i="5"/>
  <c r="B4" i="5"/>
  <c r="C4" i="5"/>
  <c r="I4" i="5"/>
  <c r="J4" i="5"/>
  <c r="K4" i="5"/>
  <c r="M4" i="5"/>
  <c r="B5" i="5"/>
  <c r="C5" i="5"/>
  <c r="I5" i="5"/>
  <c r="J5" i="5"/>
  <c r="K5" i="5"/>
  <c r="M5" i="5"/>
  <c r="B6" i="5"/>
  <c r="C6" i="5"/>
  <c r="I6" i="5"/>
  <c r="J6" i="5"/>
  <c r="K6" i="5"/>
  <c r="M6" i="5"/>
  <c r="B7" i="5"/>
  <c r="C7" i="5"/>
  <c r="I7" i="5"/>
  <c r="J7" i="5"/>
  <c r="K7" i="5"/>
  <c r="M7" i="5"/>
  <c r="B8" i="5"/>
  <c r="C8" i="5"/>
  <c r="I8" i="5"/>
  <c r="J8" i="5"/>
  <c r="K8" i="5"/>
  <c r="M8" i="5"/>
  <c r="B9" i="5"/>
  <c r="C9" i="5"/>
  <c r="I9" i="5"/>
  <c r="J9" i="5"/>
  <c r="K9" i="5"/>
  <c r="M9" i="5"/>
  <c r="B10" i="5"/>
  <c r="C10" i="5"/>
  <c r="I10" i="5"/>
  <c r="J10" i="5"/>
  <c r="K10" i="5"/>
  <c r="M10" i="5"/>
  <c r="B11" i="5"/>
  <c r="C11" i="5"/>
  <c r="I11" i="5"/>
  <c r="J11" i="5"/>
  <c r="K11" i="5"/>
  <c r="M11" i="5"/>
  <c r="B12" i="5"/>
  <c r="C12" i="5"/>
  <c r="I12" i="5"/>
  <c r="J12" i="5"/>
  <c r="K12" i="5"/>
  <c r="M12" i="5"/>
  <c r="B13" i="5"/>
  <c r="C13" i="5"/>
  <c r="I13" i="5"/>
  <c r="J13" i="5"/>
  <c r="K13" i="5"/>
  <c r="M13" i="5"/>
  <c r="B14" i="5"/>
  <c r="C14" i="5"/>
  <c r="I14" i="5"/>
  <c r="J14" i="5"/>
  <c r="K14" i="5"/>
  <c r="M14" i="5"/>
  <c r="B15" i="5"/>
  <c r="C15" i="5"/>
  <c r="I15" i="5"/>
  <c r="J15" i="5"/>
  <c r="K15" i="5"/>
  <c r="M15" i="5"/>
  <c r="B16" i="5"/>
  <c r="C16" i="5"/>
  <c r="I16" i="5"/>
  <c r="J16" i="5"/>
  <c r="K16" i="5"/>
  <c r="M16" i="5"/>
  <c r="B17" i="5"/>
  <c r="C17" i="5"/>
  <c r="I17" i="5"/>
  <c r="J17" i="5"/>
  <c r="K17" i="5"/>
  <c r="M17" i="5"/>
  <c r="B18" i="5"/>
  <c r="C18" i="5"/>
  <c r="I18" i="5"/>
  <c r="J18" i="5"/>
  <c r="K18" i="5"/>
  <c r="M18" i="5"/>
  <c r="B19" i="5"/>
  <c r="C19" i="5"/>
  <c r="I19" i="5"/>
  <c r="J19" i="5"/>
  <c r="K19" i="5"/>
  <c r="M19" i="5"/>
  <c r="B20" i="5"/>
  <c r="C20" i="5"/>
  <c r="I20" i="5"/>
  <c r="J20" i="5"/>
  <c r="K20" i="5"/>
  <c r="M20" i="5"/>
  <c r="B21" i="5"/>
  <c r="C21" i="5"/>
  <c r="I21" i="5"/>
  <c r="J21" i="5"/>
  <c r="K21" i="5"/>
  <c r="M21" i="5"/>
  <c r="B22" i="5"/>
  <c r="C22" i="5"/>
  <c r="I22" i="5"/>
  <c r="J22" i="5"/>
  <c r="K22" i="5"/>
  <c r="M22" i="5"/>
  <c r="B23" i="5"/>
  <c r="C23" i="5"/>
  <c r="I23" i="5"/>
  <c r="J23" i="5"/>
  <c r="K23" i="5"/>
  <c r="M23" i="5"/>
  <c r="B24" i="5"/>
  <c r="C24" i="5"/>
  <c r="I24" i="5"/>
  <c r="J24" i="5"/>
  <c r="K24" i="5"/>
  <c r="M24" i="5"/>
  <c r="B25" i="5"/>
  <c r="C25" i="5"/>
  <c r="I25" i="5"/>
  <c r="J25" i="5"/>
  <c r="K25" i="5"/>
  <c r="M25" i="5"/>
  <c r="B26" i="5"/>
  <c r="C26" i="5"/>
  <c r="I26" i="5"/>
  <c r="J26" i="5"/>
  <c r="K26" i="5"/>
  <c r="M26" i="5"/>
  <c r="B27" i="5"/>
  <c r="C27" i="5"/>
  <c r="I27" i="5"/>
  <c r="J27" i="5"/>
  <c r="K27" i="5"/>
  <c r="M27" i="5"/>
  <c r="B28" i="5"/>
  <c r="C28" i="5"/>
  <c r="I28" i="5"/>
  <c r="J28" i="5"/>
  <c r="K28" i="5"/>
  <c r="M28" i="5"/>
  <c r="B29" i="5"/>
  <c r="C29" i="5"/>
  <c r="I29" i="5"/>
  <c r="J29" i="5"/>
  <c r="K29" i="5"/>
  <c r="M29" i="5"/>
  <c r="B30" i="5"/>
  <c r="C30" i="5"/>
  <c r="I30" i="5"/>
  <c r="J30" i="5"/>
  <c r="K30" i="5"/>
  <c r="M30" i="5"/>
  <c r="B31" i="5"/>
  <c r="C31" i="5"/>
  <c r="I31" i="5"/>
  <c r="J31" i="5"/>
  <c r="K31" i="5"/>
  <c r="M31" i="5"/>
  <c r="B32" i="5"/>
  <c r="C32" i="5"/>
  <c r="I32" i="5"/>
  <c r="J32" i="5"/>
  <c r="K32" i="5"/>
  <c r="M32" i="5"/>
  <c r="B33" i="5"/>
  <c r="C33" i="5"/>
  <c r="I33" i="5"/>
  <c r="J33" i="5"/>
  <c r="K33" i="5"/>
  <c r="M33" i="5"/>
  <c r="B34" i="5"/>
  <c r="C34" i="5"/>
  <c r="I34" i="5"/>
  <c r="J34" i="5"/>
  <c r="K34" i="5"/>
  <c r="M34" i="5"/>
  <c r="B35" i="5"/>
  <c r="C35" i="5"/>
  <c r="I35" i="5"/>
  <c r="J35" i="5"/>
  <c r="K35" i="5"/>
  <c r="M35" i="5"/>
  <c r="B36" i="5"/>
  <c r="C36" i="5"/>
  <c r="I36" i="5"/>
  <c r="J36" i="5"/>
  <c r="K36" i="5"/>
  <c r="M36" i="5"/>
  <c r="B37" i="5"/>
  <c r="C37" i="5"/>
  <c r="I37" i="5"/>
  <c r="J37" i="5"/>
  <c r="K37" i="5"/>
  <c r="M37" i="5"/>
  <c r="B38" i="5"/>
  <c r="C38" i="5"/>
  <c r="I38" i="5"/>
  <c r="J38" i="5"/>
  <c r="K38" i="5"/>
  <c r="M38" i="5"/>
  <c r="B39" i="5"/>
  <c r="C39" i="5"/>
  <c r="I39" i="5"/>
  <c r="J39" i="5"/>
  <c r="K39" i="5"/>
  <c r="M39" i="5"/>
  <c r="B40" i="5"/>
  <c r="C40" i="5"/>
  <c r="I40" i="5"/>
  <c r="J40" i="5"/>
  <c r="K40" i="5"/>
  <c r="M40" i="5"/>
  <c r="B41" i="5"/>
  <c r="C41" i="5"/>
  <c r="I41" i="5"/>
  <c r="J41" i="5"/>
  <c r="K41" i="5"/>
  <c r="M41" i="5"/>
  <c r="B42" i="5"/>
  <c r="C42" i="5"/>
  <c r="I42" i="5"/>
  <c r="J42" i="5"/>
  <c r="K42" i="5"/>
  <c r="M42" i="5"/>
  <c r="B43" i="5"/>
  <c r="C43" i="5"/>
  <c r="I43" i="5"/>
  <c r="J43" i="5"/>
  <c r="K43" i="5"/>
  <c r="M43" i="5"/>
  <c r="B44" i="5"/>
  <c r="C44" i="5"/>
  <c r="I44" i="5"/>
  <c r="J44" i="5"/>
  <c r="K44" i="5"/>
  <c r="M44" i="5"/>
  <c r="B45" i="5"/>
  <c r="C45" i="5"/>
  <c r="I45" i="5"/>
  <c r="J45" i="5"/>
  <c r="K45" i="5"/>
  <c r="M45" i="5"/>
  <c r="B46" i="5"/>
  <c r="C46" i="5"/>
  <c r="I46" i="5"/>
  <c r="J46" i="5"/>
  <c r="K46" i="5"/>
  <c r="M46" i="5"/>
  <c r="B47" i="5"/>
  <c r="C47" i="5"/>
  <c r="I47" i="5"/>
  <c r="J47" i="5"/>
  <c r="K47" i="5"/>
  <c r="M47" i="5"/>
  <c r="B48" i="5"/>
  <c r="C48" i="5"/>
  <c r="I48" i="5"/>
  <c r="J48" i="5"/>
  <c r="K48" i="5"/>
  <c r="M48" i="5"/>
  <c r="B49" i="5"/>
  <c r="C49" i="5"/>
  <c r="I49" i="5"/>
  <c r="J49" i="5"/>
  <c r="K49" i="5"/>
  <c r="M49" i="5"/>
  <c r="B50" i="5"/>
  <c r="C50" i="5"/>
  <c r="I50" i="5"/>
  <c r="J50" i="5"/>
  <c r="K50" i="5"/>
  <c r="M50" i="5"/>
  <c r="B51" i="5"/>
  <c r="C51" i="5"/>
  <c r="I51" i="5"/>
  <c r="J51" i="5"/>
  <c r="K51" i="5"/>
  <c r="M51" i="5"/>
  <c r="B52" i="5"/>
  <c r="C52" i="5"/>
  <c r="I52" i="5"/>
  <c r="J52" i="5"/>
  <c r="K52" i="5"/>
  <c r="M52" i="5"/>
  <c r="B53" i="5"/>
  <c r="C53" i="5"/>
  <c r="I53" i="5"/>
  <c r="J53" i="5"/>
  <c r="K53" i="5"/>
  <c r="M53" i="5"/>
  <c r="B54" i="5"/>
  <c r="C54" i="5"/>
  <c r="I54" i="5"/>
  <c r="J54" i="5"/>
  <c r="K54" i="5"/>
  <c r="M54" i="5"/>
  <c r="B55" i="5"/>
  <c r="C55" i="5"/>
  <c r="I55" i="5"/>
  <c r="J55" i="5"/>
  <c r="K55" i="5"/>
  <c r="M55" i="5"/>
  <c r="B56" i="5"/>
  <c r="C56" i="5"/>
  <c r="I56" i="5"/>
  <c r="J56" i="5"/>
  <c r="K56" i="5"/>
  <c r="M56" i="5"/>
  <c r="B57" i="5"/>
  <c r="C57" i="5"/>
  <c r="I57" i="5"/>
  <c r="J57" i="5"/>
  <c r="K57" i="5"/>
  <c r="M57" i="5"/>
  <c r="B58" i="5"/>
  <c r="C58" i="5"/>
  <c r="I58" i="5"/>
  <c r="J58" i="5"/>
  <c r="K58" i="5"/>
  <c r="M58" i="5"/>
  <c r="B59" i="5"/>
  <c r="C59" i="5"/>
  <c r="I59" i="5"/>
  <c r="J59" i="5"/>
  <c r="K59" i="5"/>
  <c r="M59" i="5"/>
  <c r="B60" i="5"/>
  <c r="C60" i="5"/>
  <c r="I60" i="5"/>
  <c r="J60" i="5"/>
  <c r="K60" i="5"/>
  <c r="M60" i="5"/>
  <c r="B61" i="5"/>
  <c r="C61" i="5"/>
  <c r="I61" i="5"/>
  <c r="J61" i="5"/>
  <c r="K61" i="5"/>
  <c r="M61" i="5"/>
  <c r="B62" i="5"/>
  <c r="C62" i="5"/>
  <c r="I62" i="5"/>
  <c r="J62" i="5"/>
  <c r="K62" i="5"/>
  <c r="M62" i="5"/>
  <c r="B63" i="5"/>
  <c r="C63" i="5"/>
  <c r="I63" i="5"/>
  <c r="J63" i="5"/>
  <c r="K63" i="5"/>
  <c r="M63" i="5"/>
  <c r="B64" i="5"/>
  <c r="C64" i="5"/>
  <c r="I64" i="5"/>
  <c r="J64" i="5"/>
  <c r="K64" i="5"/>
  <c r="M64" i="5"/>
  <c r="B65" i="5"/>
  <c r="C65" i="5"/>
  <c r="I65" i="5"/>
  <c r="J65" i="5"/>
  <c r="K65" i="5"/>
  <c r="M65" i="5"/>
  <c r="B66" i="5"/>
  <c r="C66" i="5"/>
  <c r="I66" i="5"/>
  <c r="J66" i="5"/>
  <c r="K66" i="5"/>
  <c r="M66" i="5"/>
  <c r="B67" i="5"/>
  <c r="C67" i="5"/>
  <c r="I67" i="5"/>
  <c r="J67" i="5"/>
  <c r="K67" i="5"/>
  <c r="M67" i="5"/>
  <c r="B68" i="5"/>
  <c r="C68" i="5"/>
  <c r="I68" i="5"/>
  <c r="J68" i="5"/>
  <c r="K68" i="5"/>
  <c r="M68" i="5"/>
  <c r="B69" i="5"/>
  <c r="C69" i="5"/>
  <c r="I69" i="5"/>
  <c r="J69" i="5"/>
  <c r="K69" i="5"/>
  <c r="M69" i="5"/>
  <c r="B70" i="5"/>
  <c r="C70" i="5"/>
  <c r="I70" i="5"/>
  <c r="J70" i="5"/>
  <c r="K70" i="5"/>
  <c r="M70" i="5"/>
  <c r="B71" i="5"/>
  <c r="C71" i="5"/>
  <c r="I71" i="5"/>
  <c r="J71" i="5"/>
  <c r="K71" i="5"/>
  <c r="M71" i="5"/>
  <c r="B72" i="5"/>
  <c r="C72" i="5"/>
  <c r="I72" i="5"/>
  <c r="J72" i="5"/>
  <c r="K72" i="5"/>
  <c r="M72" i="5"/>
  <c r="B73" i="5"/>
  <c r="C73" i="5"/>
  <c r="I73" i="5"/>
  <c r="J73" i="5"/>
  <c r="K73" i="5"/>
  <c r="M73" i="5"/>
  <c r="B74" i="5"/>
  <c r="C74" i="5"/>
  <c r="I74" i="5"/>
  <c r="J74" i="5"/>
  <c r="K74" i="5"/>
  <c r="M74" i="5"/>
  <c r="B75" i="5"/>
  <c r="C75" i="5"/>
  <c r="I75" i="5"/>
  <c r="J75" i="5"/>
  <c r="K75" i="5"/>
  <c r="M75" i="5"/>
  <c r="B76" i="5"/>
  <c r="C76" i="5"/>
  <c r="I76" i="5"/>
  <c r="J76" i="5"/>
  <c r="K76" i="5"/>
  <c r="M76" i="5"/>
  <c r="B77" i="5"/>
  <c r="C77" i="5"/>
  <c r="I77" i="5"/>
  <c r="J77" i="5"/>
  <c r="K77" i="5"/>
  <c r="M77" i="5"/>
  <c r="B78" i="5"/>
  <c r="C78" i="5"/>
  <c r="I78" i="5"/>
  <c r="J78" i="5"/>
  <c r="K78" i="5"/>
  <c r="M78" i="5"/>
  <c r="B79" i="5"/>
  <c r="C79" i="5"/>
  <c r="I79" i="5"/>
  <c r="J79" i="5"/>
  <c r="K79" i="5"/>
  <c r="M79" i="5"/>
  <c r="B80" i="5"/>
  <c r="C80" i="5"/>
  <c r="I80" i="5"/>
  <c r="J80" i="5"/>
  <c r="K80" i="5"/>
  <c r="M80" i="5"/>
  <c r="B81" i="5"/>
  <c r="C81" i="5"/>
  <c r="I81" i="5"/>
  <c r="J81" i="5"/>
  <c r="K81" i="5"/>
  <c r="M81" i="5"/>
  <c r="B82" i="5"/>
  <c r="C82" i="5"/>
  <c r="I82" i="5"/>
  <c r="J82" i="5"/>
  <c r="K82" i="5"/>
  <c r="M82" i="5"/>
  <c r="B83" i="5"/>
  <c r="C83" i="5"/>
  <c r="I83" i="5"/>
  <c r="J83" i="5"/>
  <c r="K83" i="5"/>
  <c r="M83" i="5"/>
  <c r="B84" i="5"/>
  <c r="C84" i="5"/>
  <c r="I84" i="5"/>
  <c r="J84" i="5"/>
  <c r="K84" i="5"/>
  <c r="M84" i="5"/>
  <c r="B85" i="5"/>
  <c r="C85" i="5"/>
  <c r="I85" i="5"/>
  <c r="J85" i="5"/>
  <c r="K85" i="5"/>
  <c r="M85" i="5"/>
  <c r="B86" i="5"/>
  <c r="C86" i="5"/>
  <c r="I86" i="5"/>
  <c r="J86" i="5"/>
  <c r="K86" i="5"/>
  <c r="M86" i="5"/>
  <c r="B87" i="5"/>
  <c r="C87" i="5"/>
  <c r="I87" i="5"/>
  <c r="J87" i="5"/>
  <c r="K87" i="5"/>
  <c r="M87" i="5"/>
  <c r="B88" i="5"/>
  <c r="C88" i="5"/>
  <c r="I88" i="5"/>
  <c r="J88" i="5"/>
  <c r="K88" i="5"/>
  <c r="M88" i="5"/>
  <c r="B89" i="5"/>
  <c r="C89" i="5"/>
  <c r="I89" i="5"/>
  <c r="J89" i="5"/>
  <c r="K89" i="5"/>
  <c r="M89" i="5"/>
  <c r="B90" i="5"/>
  <c r="C90" i="5"/>
  <c r="I90" i="5"/>
  <c r="J90" i="5"/>
  <c r="K90" i="5"/>
  <c r="M90" i="5"/>
  <c r="B91" i="5"/>
  <c r="C91" i="5"/>
  <c r="I91" i="5"/>
  <c r="J91" i="5"/>
  <c r="K91" i="5"/>
  <c r="M91" i="5"/>
  <c r="B92" i="5"/>
  <c r="C92" i="5"/>
  <c r="I92" i="5"/>
  <c r="J92" i="5"/>
  <c r="K92" i="5"/>
  <c r="M92" i="5"/>
  <c r="B93" i="5"/>
  <c r="C93" i="5"/>
  <c r="I93" i="5"/>
  <c r="J93" i="5"/>
  <c r="K93" i="5"/>
  <c r="M93" i="5"/>
  <c r="B94" i="5"/>
  <c r="C94" i="5"/>
  <c r="I94" i="5"/>
  <c r="J94" i="5"/>
  <c r="K94" i="5"/>
  <c r="M94" i="5"/>
  <c r="B95" i="5"/>
  <c r="C95" i="5"/>
  <c r="I95" i="5"/>
  <c r="J95" i="5"/>
  <c r="K95" i="5"/>
  <c r="M95" i="5"/>
  <c r="B96" i="5"/>
  <c r="C96" i="5"/>
  <c r="I96" i="5"/>
  <c r="J96" i="5"/>
  <c r="K96" i="5"/>
  <c r="M96" i="5"/>
  <c r="B97" i="5"/>
  <c r="C97" i="5"/>
  <c r="I97" i="5"/>
  <c r="J97" i="5"/>
  <c r="K97" i="5"/>
  <c r="M97" i="5"/>
  <c r="B98" i="5"/>
  <c r="C98" i="5"/>
  <c r="I98" i="5"/>
  <c r="J98" i="5"/>
  <c r="K98" i="5"/>
  <c r="M98" i="5"/>
  <c r="B99" i="5"/>
  <c r="C99" i="5"/>
  <c r="I99" i="5"/>
  <c r="J99" i="5"/>
  <c r="K99" i="5"/>
  <c r="M99" i="5"/>
  <c r="B100" i="5"/>
  <c r="C100" i="5"/>
  <c r="I100" i="5"/>
  <c r="J100" i="5"/>
  <c r="K100" i="5"/>
  <c r="M100" i="5"/>
  <c r="B101" i="5"/>
  <c r="C101" i="5"/>
  <c r="I101" i="5"/>
  <c r="J101" i="5"/>
  <c r="K101" i="5"/>
  <c r="M101" i="5"/>
  <c r="B102" i="5"/>
  <c r="C102" i="5"/>
  <c r="I102" i="5"/>
  <c r="J102" i="5"/>
  <c r="K102" i="5"/>
  <c r="M102" i="5"/>
  <c r="B103" i="5"/>
  <c r="C103" i="5"/>
  <c r="I103" i="5"/>
  <c r="J103" i="5"/>
  <c r="K103" i="5"/>
  <c r="M103" i="5"/>
  <c r="B104" i="5"/>
  <c r="C104" i="5"/>
  <c r="I104" i="5"/>
  <c r="J104" i="5"/>
  <c r="K104" i="5"/>
  <c r="M104" i="5"/>
  <c r="B105" i="5"/>
  <c r="C105" i="5"/>
  <c r="I105" i="5"/>
  <c r="J105" i="5"/>
  <c r="K105" i="5"/>
  <c r="M105" i="5"/>
  <c r="B106" i="5"/>
  <c r="C106" i="5"/>
  <c r="I106" i="5"/>
  <c r="J106" i="5"/>
  <c r="K106" i="5"/>
  <c r="M106" i="5"/>
  <c r="B107" i="5"/>
  <c r="C107" i="5"/>
  <c r="I107" i="5"/>
  <c r="J107" i="5"/>
  <c r="K107" i="5"/>
  <c r="M107" i="5"/>
  <c r="B108" i="5"/>
  <c r="C108" i="5"/>
  <c r="I108" i="5"/>
  <c r="J108" i="5"/>
  <c r="K108" i="5"/>
  <c r="M108" i="5"/>
  <c r="B109" i="5"/>
  <c r="C109" i="5"/>
  <c r="I109" i="5"/>
  <c r="J109" i="5"/>
  <c r="K109" i="5"/>
  <c r="M109" i="5"/>
  <c r="B110" i="5"/>
  <c r="C110" i="5"/>
  <c r="I110" i="5"/>
  <c r="J110" i="5"/>
  <c r="K110" i="5"/>
  <c r="M110" i="5"/>
  <c r="B111" i="5"/>
  <c r="C111" i="5"/>
  <c r="I111" i="5"/>
  <c r="J111" i="5"/>
  <c r="K111" i="5"/>
  <c r="M111" i="5"/>
  <c r="B112" i="5"/>
  <c r="C112" i="5"/>
  <c r="I112" i="5"/>
  <c r="J112" i="5"/>
  <c r="K112" i="5"/>
  <c r="M112" i="5"/>
  <c r="B113" i="5"/>
  <c r="C113" i="5"/>
  <c r="I113" i="5"/>
  <c r="J113" i="5"/>
  <c r="K113" i="5"/>
  <c r="M113" i="5"/>
  <c r="B114" i="5"/>
  <c r="C114" i="5"/>
  <c r="I114" i="5"/>
  <c r="J114" i="5"/>
  <c r="K114" i="5"/>
  <c r="M114" i="5"/>
  <c r="B115" i="5"/>
  <c r="C115" i="5"/>
  <c r="I115" i="5"/>
  <c r="J115" i="5"/>
  <c r="K115" i="5"/>
  <c r="M115" i="5"/>
  <c r="B116" i="5"/>
  <c r="C116" i="5"/>
  <c r="I116" i="5"/>
  <c r="J116" i="5"/>
  <c r="K116" i="5"/>
  <c r="M116" i="5"/>
  <c r="B117" i="5"/>
  <c r="C117" i="5"/>
  <c r="I117" i="5"/>
  <c r="J117" i="5"/>
  <c r="K117" i="5"/>
  <c r="M117" i="5"/>
  <c r="B118" i="5"/>
  <c r="C118" i="5"/>
  <c r="I118" i="5"/>
  <c r="J118" i="5"/>
  <c r="K118" i="5"/>
  <c r="M118" i="5"/>
  <c r="B119" i="5"/>
  <c r="C119" i="5"/>
  <c r="I119" i="5"/>
  <c r="J119" i="5"/>
  <c r="K119" i="5"/>
  <c r="M119" i="5"/>
  <c r="B120" i="5"/>
  <c r="C120" i="5"/>
  <c r="I120" i="5"/>
  <c r="J120" i="5"/>
  <c r="K120" i="5"/>
  <c r="M120" i="5"/>
  <c r="B121" i="5"/>
  <c r="C121" i="5"/>
  <c r="I121" i="5"/>
  <c r="J121" i="5"/>
  <c r="K121" i="5"/>
  <c r="M121" i="5"/>
  <c r="B122" i="5"/>
  <c r="C122" i="5"/>
  <c r="I122" i="5"/>
  <c r="J122" i="5"/>
  <c r="K122" i="5"/>
  <c r="M122" i="5"/>
  <c r="B123" i="5"/>
  <c r="C123" i="5"/>
  <c r="I123" i="5"/>
  <c r="J123" i="5"/>
  <c r="K123" i="5"/>
  <c r="M123" i="5"/>
  <c r="B124" i="5"/>
  <c r="C124" i="5"/>
  <c r="I124" i="5"/>
  <c r="J124" i="5"/>
  <c r="K124" i="5"/>
  <c r="M124" i="5"/>
  <c r="B125" i="5"/>
  <c r="C125" i="5"/>
  <c r="I125" i="5"/>
  <c r="J125" i="5"/>
  <c r="K125" i="5"/>
  <c r="M125" i="5"/>
  <c r="B126" i="5"/>
  <c r="C126" i="5"/>
  <c r="I126" i="5"/>
  <c r="J126" i="5"/>
  <c r="K126" i="5"/>
  <c r="M126" i="5"/>
  <c r="B127" i="5"/>
  <c r="C127" i="5"/>
  <c r="I127" i="5"/>
  <c r="J127" i="5"/>
  <c r="K127" i="5"/>
  <c r="M127" i="5"/>
  <c r="B128" i="5"/>
  <c r="C128" i="5"/>
  <c r="I128" i="5"/>
  <c r="J128" i="5"/>
  <c r="K128" i="5"/>
  <c r="M128" i="5"/>
  <c r="B129" i="5"/>
  <c r="C129" i="5"/>
  <c r="I129" i="5"/>
  <c r="J129" i="5"/>
  <c r="K129" i="5"/>
  <c r="M129" i="5"/>
  <c r="B130" i="5"/>
  <c r="C130" i="5"/>
  <c r="I130" i="5"/>
  <c r="J130" i="5"/>
  <c r="K130" i="5"/>
  <c r="M130" i="5"/>
  <c r="B131" i="5"/>
  <c r="C131" i="5"/>
  <c r="I131" i="5"/>
  <c r="J131" i="5"/>
  <c r="K131" i="5"/>
  <c r="M131" i="5"/>
  <c r="B132" i="5"/>
  <c r="C132" i="5"/>
  <c r="I132" i="5"/>
  <c r="J132" i="5"/>
  <c r="K132" i="5"/>
  <c r="M132" i="5"/>
  <c r="B133" i="5"/>
  <c r="C133" i="5"/>
  <c r="I133" i="5"/>
  <c r="J133" i="5"/>
  <c r="K133" i="5"/>
  <c r="M133" i="5"/>
  <c r="B134" i="5"/>
  <c r="C134" i="5"/>
  <c r="I134" i="5"/>
  <c r="J134" i="5"/>
  <c r="K134" i="5"/>
  <c r="M134" i="5"/>
  <c r="B135" i="5"/>
  <c r="C135" i="5"/>
  <c r="I135" i="5"/>
  <c r="J135" i="5"/>
  <c r="K135" i="5"/>
  <c r="M135" i="5"/>
  <c r="B136" i="5"/>
  <c r="C136" i="5"/>
  <c r="I136" i="5"/>
  <c r="J136" i="5"/>
  <c r="K136" i="5"/>
  <c r="M136" i="5"/>
  <c r="B137" i="5"/>
  <c r="C137" i="5"/>
  <c r="I137" i="5"/>
  <c r="J137" i="5"/>
  <c r="K137" i="5"/>
  <c r="M137" i="5"/>
  <c r="B138" i="5"/>
  <c r="C138" i="5"/>
  <c r="I138" i="5"/>
  <c r="J138" i="5"/>
  <c r="K138" i="5"/>
  <c r="M138" i="5"/>
  <c r="B139" i="5"/>
  <c r="C139" i="5"/>
  <c r="I139" i="5"/>
  <c r="J139" i="5"/>
  <c r="K139" i="5"/>
  <c r="M139" i="5"/>
  <c r="B140" i="5"/>
  <c r="C140" i="5"/>
  <c r="I140" i="5"/>
  <c r="J140" i="5"/>
  <c r="K140" i="5"/>
  <c r="M140" i="5"/>
  <c r="B141" i="5"/>
  <c r="C141" i="5"/>
  <c r="I141" i="5"/>
  <c r="J141" i="5"/>
  <c r="K141" i="5"/>
  <c r="M141" i="5"/>
  <c r="B142" i="5"/>
  <c r="C142" i="5"/>
  <c r="I142" i="5"/>
  <c r="J142" i="5"/>
  <c r="K142" i="5"/>
  <c r="M142" i="5"/>
  <c r="B143" i="5"/>
  <c r="C143" i="5"/>
  <c r="I143" i="5"/>
  <c r="J143" i="5"/>
  <c r="K143" i="5"/>
  <c r="M143" i="5"/>
  <c r="B144" i="5"/>
  <c r="C144" i="5"/>
  <c r="I144" i="5"/>
  <c r="J144" i="5"/>
  <c r="K144" i="5"/>
  <c r="M144" i="5"/>
  <c r="B145" i="5"/>
  <c r="C145" i="5"/>
  <c r="I145" i="5"/>
  <c r="J145" i="5"/>
  <c r="K145" i="5"/>
  <c r="M145" i="5"/>
  <c r="B146" i="5"/>
  <c r="C146" i="5"/>
  <c r="I146" i="5"/>
  <c r="J146" i="5"/>
  <c r="K146" i="5"/>
  <c r="M146" i="5"/>
  <c r="B147" i="5"/>
  <c r="C147" i="5"/>
  <c r="I147" i="5"/>
  <c r="J147" i="5"/>
  <c r="K147" i="5"/>
  <c r="M147" i="5"/>
  <c r="B148" i="5"/>
  <c r="C148" i="5"/>
  <c r="I148" i="5"/>
  <c r="J148" i="5"/>
  <c r="K148" i="5"/>
  <c r="M148" i="5"/>
  <c r="B149" i="5"/>
  <c r="C149" i="5"/>
  <c r="I149" i="5"/>
  <c r="J149" i="5"/>
  <c r="K149" i="5"/>
  <c r="M149" i="5"/>
  <c r="B150" i="5"/>
  <c r="C150" i="5"/>
  <c r="I150" i="5"/>
  <c r="J150" i="5"/>
  <c r="K150" i="5"/>
  <c r="M150" i="5"/>
  <c r="B151" i="5"/>
  <c r="C151" i="5"/>
  <c r="I151" i="5"/>
  <c r="J151" i="5"/>
  <c r="K151" i="5"/>
  <c r="M151" i="5"/>
  <c r="B152" i="5"/>
  <c r="C152" i="5"/>
  <c r="I152" i="5"/>
  <c r="J152" i="5"/>
  <c r="K152" i="5"/>
  <c r="M152" i="5"/>
  <c r="B153" i="5"/>
  <c r="C153" i="5"/>
  <c r="I153" i="5"/>
  <c r="J153" i="5"/>
  <c r="K153" i="5"/>
  <c r="M153" i="5"/>
  <c r="B154" i="5"/>
  <c r="C154" i="5"/>
  <c r="I154" i="5"/>
  <c r="J154" i="5"/>
  <c r="K154" i="5"/>
  <c r="M154" i="5"/>
  <c r="B155" i="5"/>
  <c r="C155" i="5"/>
  <c r="I155" i="5"/>
  <c r="J155" i="5"/>
  <c r="K155" i="5"/>
  <c r="M155" i="5"/>
  <c r="B156" i="5"/>
  <c r="C156" i="5"/>
  <c r="I156" i="5"/>
  <c r="J156" i="5"/>
  <c r="K156" i="5"/>
  <c r="M156" i="5"/>
  <c r="B157" i="5"/>
  <c r="C157" i="5"/>
  <c r="I157" i="5"/>
  <c r="J157" i="5"/>
  <c r="K157" i="5"/>
  <c r="M157" i="5"/>
  <c r="B158" i="5"/>
  <c r="C158" i="5"/>
  <c r="I158" i="5"/>
  <c r="J158" i="5"/>
  <c r="K158" i="5"/>
  <c r="M158" i="5"/>
  <c r="B159" i="5"/>
  <c r="C159" i="5"/>
  <c r="I159" i="5"/>
  <c r="J159" i="5"/>
  <c r="K159" i="5"/>
  <c r="M159" i="5"/>
  <c r="B160" i="5"/>
  <c r="C160" i="5"/>
  <c r="I160" i="5"/>
  <c r="J160" i="5"/>
  <c r="K160" i="5"/>
  <c r="M160" i="5"/>
  <c r="B161" i="5"/>
  <c r="C161" i="5"/>
  <c r="I161" i="5"/>
  <c r="J161" i="5"/>
  <c r="K161" i="5"/>
  <c r="M161" i="5"/>
  <c r="B162" i="5"/>
  <c r="C162" i="5"/>
  <c r="I162" i="5"/>
  <c r="J162" i="5"/>
  <c r="K162" i="5"/>
  <c r="M162" i="5"/>
  <c r="B163" i="5"/>
  <c r="C163" i="5"/>
  <c r="I163" i="5"/>
  <c r="J163" i="5"/>
  <c r="K163" i="5"/>
  <c r="M163" i="5"/>
  <c r="B164" i="5"/>
  <c r="C164" i="5"/>
  <c r="I164" i="5"/>
  <c r="J164" i="5"/>
  <c r="K164" i="5"/>
  <c r="M164" i="5"/>
  <c r="B165" i="5"/>
  <c r="C165" i="5"/>
  <c r="I165" i="5"/>
  <c r="J165" i="5"/>
  <c r="K165" i="5"/>
  <c r="M165" i="5"/>
  <c r="B166" i="5"/>
  <c r="C166" i="5"/>
  <c r="I166" i="5"/>
  <c r="J166" i="5"/>
  <c r="K166" i="5"/>
  <c r="M166" i="5"/>
  <c r="B167" i="5"/>
  <c r="C167" i="5"/>
  <c r="I167" i="5"/>
  <c r="J167" i="5"/>
  <c r="K167" i="5"/>
  <c r="M167" i="5"/>
  <c r="B168" i="5"/>
  <c r="C168" i="5"/>
  <c r="I168" i="5"/>
  <c r="J168" i="5"/>
  <c r="K168" i="5"/>
  <c r="M168" i="5"/>
  <c r="B169" i="5"/>
  <c r="C169" i="5"/>
  <c r="I169" i="5"/>
  <c r="J169" i="5"/>
  <c r="K169" i="5"/>
  <c r="M169" i="5"/>
  <c r="B170" i="5"/>
  <c r="C170" i="5"/>
  <c r="I170" i="5"/>
  <c r="J170" i="5"/>
  <c r="K170" i="5"/>
  <c r="M170" i="5"/>
  <c r="B171" i="5"/>
  <c r="C171" i="5"/>
  <c r="I171" i="5"/>
  <c r="J171" i="5"/>
  <c r="K171" i="5"/>
  <c r="M171" i="5"/>
  <c r="B172" i="5"/>
  <c r="C172" i="5"/>
  <c r="I172" i="5"/>
  <c r="J172" i="5"/>
  <c r="K172" i="5"/>
  <c r="M172" i="5"/>
  <c r="B173" i="5"/>
  <c r="C173" i="5"/>
  <c r="I173" i="5"/>
  <c r="J173" i="5"/>
  <c r="K173" i="5"/>
  <c r="M173" i="5"/>
  <c r="B174" i="5"/>
  <c r="C174" i="5"/>
  <c r="I174" i="5"/>
  <c r="J174" i="5"/>
  <c r="K174" i="5"/>
  <c r="M174" i="5"/>
  <c r="B175" i="5"/>
  <c r="C175" i="5"/>
  <c r="I175" i="5"/>
  <c r="J175" i="5"/>
  <c r="K175" i="5"/>
  <c r="M175" i="5"/>
  <c r="B176" i="5"/>
  <c r="C176" i="5"/>
  <c r="I176" i="5"/>
  <c r="J176" i="5"/>
  <c r="K176" i="5"/>
  <c r="M176" i="5"/>
  <c r="B177" i="5"/>
  <c r="C177" i="5"/>
  <c r="I177" i="5"/>
  <c r="J177" i="5"/>
  <c r="K177" i="5"/>
  <c r="M177" i="5"/>
  <c r="B178" i="5"/>
  <c r="C178" i="5"/>
  <c r="I178" i="5"/>
  <c r="J178" i="5"/>
  <c r="K178" i="5"/>
  <c r="M178" i="5"/>
  <c r="B179" i="5"/>
  <c r="C179" i="5"/>
  <c r="I179" i="5"/>
  <c r="J179" i="5"/>
  <c r="K179" i="5"/>
  <c r="M179" i="5"/>
  <c r="B180" i="5"/>
  <c r="C180" i="5"/>
  <c r="I180" i="5"/>
  <c r="J180" i="5"/>
  <c r="K180" i="5"/>
  <c r="M180" i="5"/>
  <c r="B181" i="5"/>
  <c r="C181" i="5"/>
  <c r="I181" i="5"/>
  <c r="J181" i="5"/>
  <c r="K181" i="5"/>
  <c r="M181" i="5"/>
  <c r="B182" i="5"/>
  <c r="C182" i="5"/>
  <c r="I182" i="5"/>
  <c r="J182" i="5"/>
  <c r="K182" i="5"/>
  <c r="M182" i="5"/>
  <c r="B183" i="5"/>
  <c r="C183" i="5"/>
  <c r="I183" i="5"/>
  <c r="J183" i="5"/>
  <c r="K183" i="5"/>
  <c r="M183" i="5"/>
  <c r="B184" i="5"/>
  <c r="C184" i="5"/>
  <c r="I184" i="5"/>
  <c r="J184" i="5"/>
  <c r="K184" i="5"/>
  <c r="M184" i="5"/>
  <c r="B185" i="5"/>
  <c r="C185" i="5"/>
  <c r="I185" i="5"/>
  <c r="J185" i="5"/>
  <c r="K185" i="5"/>
  <c r="M185" i="5"/>
  <c r="B186" i="5"/>
  <c r="C186" i="5"/>
  <c r="I186" i="5"/>
  <c r="J186" i="5"/>
  <c r="K186" i="5"/>
  <c r="M186" i="5"/>
  <c r="B187" i="5"/>
  <c r="C187" i="5"/>
  <c r="I187" i="5"/>
  <c r="J187" i="5"/>
  <c r="K187" i="5"/>
  <c r="M187" i="5"/>
  <c r="B188" i="5"/>
  <c r="C188" i="5"/>
  <c r="I188" i="5"/>
  <c r="J188" i="5"/>
  <c r="K188" i="5"/>
  <c r="M188" i="5"/>
  <c r="B189" i="5"/>
  <c r="C189" i="5"/>
  <c r="I189" i="5"/>
  <c r="J189" i="5"/>
  <c r="K189" i="5"/>
  <c r="M189" i="5"/>
  <c r="B190" i="5"/>
  <c r="C190" i="5"/>
  <c r="I190" i="5"/>
  <c r="J190" i="5"/>
  <c r="K190" i="5"/>
  <c r="M190" i="5"/>
  <c r="B191" i="5"/>
  <c r="C191" i="5"/>
  <c r="I191" i="5"/>
  <c r="J191" i="5"/>
  <c r="K191" i="5"/>
  <c r="M191" i="5"/>
  <c r="B192" i="5"/>
  <c r="C192" i="5"/>
  <c r="I192" i="5"/>
  <c r="J192" i="5"/>
  <c r="K192" i="5"/>
  <c r="M192" i="5"/>
  <c r="B193" i="5"/>
  <c r="C193" i="5"/>
  <c r="I193" i="5"/>
  <c r="J193" i="5"/>
  <c r="K193" i="5"/>
  <c r="M193" i="5"/>
  <c r="B194" i="5"/>
  <c r="C194" i="5"/>
  <c r="I194" i="5"/>
  <c r="J194" i="5"/>
  <c r="K194" i="5"/>
  <c r="M194" i="5"/>
  <c r="B195" i="5"/>
  <c r="C195" i="5"/>
  <c r="I195" i="5"/>
  <c r="J195" i="5"/>
  <c r="K195" i="5"/>
  <c r="M195" i="5"/>
  <c r="B196" i="5"/>
  <c r="C196" i="5"/>
  <c r="I196" i="5"/>
  <c r="J196" i="5"/>
  <c r="K196" i="5"/>
  <c r="M196" i="5"/>
  <c r="B197" i="5"/>
  <c r="C197" i="5"/>
  <c r="I197" i="5"/>
  <c r="J197" i="5"/>
  <c r="K197" i="5"/>
  <c r="M197" i="5"/>
  <c r="B198" i="5"/>
  <c r="C198" i="5"/>
  <c r="I198" i="5"/>
  <c r="J198" i="5"/>
  <c r="K198" i="5"/>
  <c r="M198" i="5"/>
  <c r="B199" i="5"/>
  <c r="C199" i="5"/>
  <c r="I199" i="5"/>
  <c r="J199" i="5"/>
  <c r="K199" i="5"/>
  <c r="M199" i="5"/>
  <c r="B200" i="5"/>
  <c r="C200" i="5"/>
  <c r="I200" i="5"/>
  <c r="J200" i="5"/>
  <c r="K200" i="5"/>
  <c r="M200" i="5"/>
  <c r="B201" i="5"/>
  <c r="C201" i="5"/>
  <c r="I201" i="5"/>
  <c r="J201" i="5"/>
  <c r="K201" i="5"/>
  <c r="M201" i="5"/>
  <c r="B202" i="5"/>
  <c r="C202" i="5"/>
  <c r="I202" i="5"/>
  <c r="J202" i="5"/>
  <c r="K202" i="5"/>
  <c r="M202" i="5"/>
  <c r="B203" i="5"/>
  <c r="C203" i="5"/>
  <c r="I203" i="5"/>
  <c r="J203" i="5"/>
  <c r="K203" i="5"/>
  <c r="M203" i="5"/>
  <c r="B204" i="5"/>
  <c r="C204" i="5"/>
  <c r="I204" i="5"/>
  <c r="J204" i="5"/>
  <c r="K204" i="5"/>
  <c r="M204" i="5"/>
  <c r="B205" i="5"/>
  <c r="C205" i="5"/>
  <c r="I205" i="5"/>
  <c r="J205" i="5"/>
  <c r="K205" i="5"/>
  <c r="M205" i="5"/>
  <c r="B206" i="5"/>
  <c r="C206" i="5"/>
  <c r="I206" i="5"/>
  <c r="J206" i="5"/>
  <c r="K206" i="5"/>
  <c r="M206" i="5"/>
  <c r="B207" i="5"/>
  <c r="C207" i="5"/>
  <c r="I207" i="5"/>
  <c r="J207" i="5"/>
  <c r="K207" i="5"/>
  <c r="M207" i="5"/>
  <c r="B208" i="5"/>
  <c r="C208" i="5"/>
  <c r="I208" i="5"/>
  <c r="J208" i="5"/>
  <c r="K208" i="5"/>
  <c r="M208" i="5"/>
  <c r="B209" i="5"/>
  <c r="C209" i="5"/>
  <c r="I209" i="5"/>
  <c r="J209" i="5"/>
  <c r="K209" i="5"/>
  <c r="M209" i="5"/>
  <c r="B210" i="5"/>
  <c r="C210" i="5"/>
  <c r="I210" i="5"/>
  <c r="J210" i="5"/>
  <c r="K210" i="5"/>
  <c r="M210" i="5"/>
  <c r="B211" i="5"/>
  <c r="C211" i="5"/>
  <c r="I211" i="5"/>
  <c r="J211" i="5"/>
  <c r="K211" i="5"/>
  <c r="M211" i="5"/>
  <c r="B212" i="5"/>
  <c r="C212" i="5"/>
  <c r="I212" i="5"/>
  <c r="J212" i="5"/>
  <c r="K212" i="5"/>
  <c r="M212" i="5"/>
  <c r="B213" i="5"/>
  <c r="C213" i="5"/>
  <c r="I213" i="5"/>
  <c r="J213" i="5"/>
  <c r="K213" i="5"/>
  <c r="M213" i="5"/>
  <c r="B214" i="5"/>
  <c r="C214" i="5"/>
  <c r="I214" i="5"/>
  <c r="J214" i="5"/>
  <c r="K214" i="5"/>
  <c r="M214" i="5"/>
  <c r="B215" i="5"/>
  <c r="C215" i="5"/>
  <c r="I215" i="5"/>
  <c r="J215" i="5"/>
  <c r="K215" i="5"/>
  <c r="M215" i="5"/>
  <c r="B216" i="5"/>
  <c r="C216" i="5"/>
  <c r="I216" i="5"/>
  <c r="J216" i="5"/>
  <c r="K216" i="5"/>
  <c r="M216" i="5"/>
  <c r="B217" i="5"/>
  <c r="C217" i="5"/>
  <c r="I217" i="5"/>
  <c r="J217" i="5"/>
  <c r="K217" i="5"/>
  <c r="M217" i="5"/>
  <c r="B218" i="5"/>
  <c r="C218" i="5"/>
  <c r="I218" i="5"/>
  <c r="J218" i="5"/>
  <c r="K218" i="5"/>
  <c r="M218" i="5"/>
  <c r="B219" i="5"/>
  <c r="C219" i="5"/>
  <c r="I219" i="5"/>
  <c r="J219" i="5"/>
  <c r="K219" i="5"/>
  <c r="M219" i="5"/>
  <c r="B220" i="5"/>
  <c r="C220" i="5"/>
  <c r="I220" i="5"/>
  <c r="J220" i="5"/>
  <c r="K220" i="5"/>
  <c r="M220" i="5"/>
  <c r="B221" i="5"/>
  <c r="C221" i="5"/>
  <c r="I221" i="5"/>
  <c r="J221" i="5"/>
  <c r="K221" i="5"/>
  <c r="M221" i="5"/>
  <c r="B222" i="5"/>
  <c r="C222" i="5"/>
  <c r="I222" i="5"/>
  <c r="J222" i="5"/>
  <c r="K222" i="5"/>
  <c r="M222" i="5"/>
  <c r="B223" i="5"/>
  <c r="C223" i="5"/>
  <c r="I223" i="5"/>
  <c r="J223" i="5"/>
  <c r="K223" i="5"/>
  <c r="M223" i="5"/>
  <c r="B224" i="5"/>
  <c r="C224" i="5"/>
  <c r="I224" i="5"/>
  <c r="J224" i="5"/>
  <c r="K224" i="5"/>
  <c r="M224" i="5"/>
  <c r="B225" i="5"/>
  <c r="C225" i="5"/>
  <c r="I225" i="5"/>
  <c r="J225" i="5"/>
  <c r="K225" i="5"/>
  <c r="M225" i="5"/>
  <c r="B226" i="5"/>
  <c r="C226" i="5"/>
  <c r="I226" i="5"/>
  <c r="J226" i="5"/>
  <c r="K226" i="5"/>
  <c r="M226" i="5"/>
  <c r="B227" i="5"/>
  <c r="C227" i="5"/>
  <c r="I227" i="5"/>
  <c r="J227" i="5"/>
  <c r="K227" i="5"/>
  <c r="M227" i="5"/>
  <c r="B228" i="5"/>
  <c r="C228" i="5"/>
  <c r="I228" i="5"/>
  <c r="J228" i="5"/>
  <c r="K228" i="5"/>
  <c r="M228" i="5"/>
  <c r="B229" i="5"/>
  <c r="C229" i="5"/>
  <c r="I229" i="5"/>
  <c r="J229" i="5"/>
  <c r="K229" i="5"/>
  <c r="M229" i="5"/>
  <c r="B230" i="5"/>
  <c r="C230" i="5"/>
  <c r="I230" i="5"/>
  <c r="J230" i="5"/>
  <c r="K230" i="5"/>
  <c r="M230" i="5"/>
  <c r="B231" i="5"/>
  <c r="C231" i="5"/>
  <c r="I231" i="5"/>
  <c r="J231" i="5"/>
  <c r="K231" i="5"/>
  <c r="M231" i="5"/>
  <c r="B232" i="5"/>
  <c r="C232" i="5"/>
  <c r="I232" i="5"/>
  <c r="J232" i="5"/>
  <c r="K232" i="5"/>
  <c r="M232" i="5"/>
  <c r="B233" i="5"/>
  <c r="C233" i="5"/>
  <c r="I233" i="5"/>
  <c r="J233" i="5"/>
  <c r="K233" i="5"/>
  <c r="M233" i="5"/>
  <c r="B234" i="5"/>
  <c r="C234" i="5"/>
  <c r="I234" i="5"/>
  <c r="J234" i="5"/>
  <c r="K234" i="5"/>
  <c r="M234" i="5"/>
  <c r="B235" i="5"/>
  <c r="C235" i="5"/>
  <c r="I235" i="5"/>
  <c r="J235" i="5"/>
  <c r="K235" i="5"/>
  <c r="M235" i="5"/>
  <c r="B236" i="5"/>
  <c r="C236" i="5"/>
  <c r="I236" i="5"/>
  <c r="J236" i="5"/>
  <c r="K236" i="5"/>
  <c r="M236" i="5"/>
  <c r="B237" i="5"/>
  <c r="C237" i="5"/>
  <c r="I237" i="5"/>
  <c r="J237" i="5"/>
  <c r="K237" i="5"/>
  <c r="M237" i="5"/>
  <c r="B238" i="5"/>
  <c r="C238" i="5"/>
  <c r="I238" i="5"/>
  <c r="J238" i="5"/>
  <c r="K238" i="5"/>
  <c r="M238" i="5"/>
  <c r="B239" i="5"/>
  <c r="C239" i="5"/>
  <c r="I239" i="5"/>
  <c r="J239" i="5"/>
  <c r="K239" i="5"/>
  <c r="M239" i="5"/>
  <c r="B240" i="5"/>
  <c r="C240" i="5"/>
  <c r="I240" i="5"/>
  <c r="J240" i="5"/>
  <c r="K240" i="5"/>
  <c r="M240" i="5"/>
  <c r="B241" i="5"/>
  <c r="C241" i="5"/>
  <c r="I241" i="5"/>
  <c r="J241" i="5"/>
  <c r="K241" i="5"/>
  <c r="M241" i="5"/>
  <c r="B242" i="5"/>
  <c r="C242" i="5"/>
  <c r="I242" i="5"/>
  <c r="J242" i="5"/>
  <c r="K242" i="5"/>
  <c r="M242" i="5"/>
  <c r="B243" i="5"/>
  <c r="C243" i="5"/>
  <c r="I243" i="5"/>
  <c r="J243" i="5"/>
  <c r="K243" i="5"/>
  <c r="M243" i="5"/>
  <c r="B244" i="5"/>
  <c r="C244" i="5"/>
  <c r="I244" i="5"/>
  <c r="J244" i="5"/>
  <c r="K244" i="5"/>
  <c r="M244" i="5"/>
  <c r="B245" i="5"/>
  <c r="C245" i="5"/>
  <c r="I245" i="5"/>
  <c r="J245" i="5"/>
  <c r="K245" i="5"/>
  <c r="M245" i="5"/>
  <c r="B246" i="5"/>
  <c r="C246" i="5"/>
  <c r="I246" i="5"/>
  <c r="J246" i="5"/>
  <c r="K246" i="5"/>
  <c r="M246" i="5"/>
  <c r="B247" i="5"/>
  <c r="C247" i="5"/>
  <c r="I247" i="5"/>
  <c r="J247" i="5"/>
  <c r="K247" i="5"/>
  <c r="M247" i="5"/>
  <c r="B248" i="5"/>
  <c r="C248" i="5"/>
  <c r="I248" i="5"/>
  <c r="J248" i="5"/>
  <c r="K248" i="5"/>
  <c r="M248" i="5"/>
  <c r="B249" i="5"/>
  <c r="C249" i="5"/>
  <c r="I249" i="5"/>
  <c r="J249" i="5"/>
  <c r="K249" i="5"/>
  <c r="M249" i="5"/>
  <c r="B250" i="5"/>
  <c r="C250" i="5"/>
  <c r="I250" i="5"/>
  <c r="J250" i="5"/>
  <c r="K250" i="5"/>
  <c r="M250" i="5"/>
  <c r="B251" i="5"/>
  <c r="C251" i="5"/>
  <c r="I251" i="5"/>
  <c r="J251" i="5"/>
  <c r="K251" i="5"/>
  <c r="M251" i="5"/>
  <c r="B252" i="5"/>
  <c r="C252" i="5"/>
  <c r="I252" i="5"/>
  <c r="J252" i="5"/>
  <c r="K252" i="5"/>
  <c r="M252" i="5"/>
  <c r="B253" i="5"/>
  <c r="C253" i="5"/>
  <c r="I253" i="5"/>
  <c r="J253" i="5"/>
  <c r="K253" i="5"/>
  <c r="M253" i="5"/>
  <c r="B254" i="5"/>
  <c r="C254" i="5"/>
  <c r="I254" i="5"/>
  <c r="J254" i="5"/>
  <c r="K254" i="5"/>
  <c r="M254" i="5"/>
  <c r="B255" i="5"/>
  <c r="C255" i="5"/>
  <c r="I255" i="5"/>
  <c r="J255" i="5"/>
  <c r="K255" i="5"/>
  <c r="M255" i="5"/>
  <c r="B256" i="5"/>
  <c r="C256" i="5"/>
  <c r="I256" i="5"/>
  <c r="J256" i="5"/>
  <c r="K256" i="5"/>
  <c r="M256" i="5"/>
  <c r="B257" i="5"/>
  <c r="C257" i="5"/>
  <c r="I257" i="5"/>
  <c r="J257" i="5"/>
  <c r="K257" i="5"/>
  <c r="M257" i="5"/>
  <c r="B258" i="5"/>
  <c r="C258" i="5"/>
  <c r="I258" i="5"/>
  <c r="J258" i="5"/>
  <c r="K258" i="5"/>
  <c r="M258" i="5"/>
  <c r="B259" i="5"/>
  <c r="C259" i="5"/>
  <c r="I259" i="5"/>
  <c r="J259" i="5"/>
  <c r="K259" i="5"/>
  <c r="M259" i="5"/>
  <c r="B260" i="5"/>
  <c r="C260" i="5"/>
  <c r="I260" i="5"/>
  <c r="J260" i="5"/>
  <c r="K260" i="5"/>
  <c r="M260" i="5"/>
  <c r="B261" i="5"/>
  <c r="C261" i="5"/>
  <c r="I261" i="5"/>
  <c r="J261" i="5"/>
  <c r="K261" i="5"/>
  <c r="M261" i="5"/>
  <c r="B262" i="5"/>
  <c r="C262" i="5"/>
  <c r="I262" i="5"/>
  <c r="J262" i="5"/>
  <c r="K262" i="5"/>
  <c r="M262" i="5"/>
  <c r="B263" i="5"/>
  <c r="C263" i="5"/>
  <c r="I263" i="5"/>
  <c r="J263" i="5"/>
  <c r="K263" i="5"/>
  <c r="M263" i="5"/>
  <c r="B264" i="5"/>
  <c r="C264" i="5"/>
  <c r="I264" i="5"/>
  <c r="J264" i="5"/>
  <c r="K264" i="5"/>
  <c r="M264" i="5"/>
  <c r="B265" i="5"/>
  <c r="C265" i="5"/>
  <c r="I265" i="5"/>
  <c r="J265" i="5"/>
  <c r="K265" i="5"/>
  <c r="M265" i="5"/>
  <c r="B266" i="5"/>
  <c r="C266" i="5"/>
  <c r="I266" i="5"/>
  <c r="J266" i="5"/>
  <c r="K266" i="5"/>
  <c r="M266" i="5"/>
  <c r="B267" i="5"/>
  <c r="C267" i="5"/>
  <c r="I267" i="5"/>
  <c r="J267" i="5"/>
  <c r="K267" i="5"/>
  <c r="M267" i="5"/>
  <c r="B268" i="5"/>
  <c r="C268" i="5"/>
  <c r="I268" i="5"/>
  <c r="J268" i="5"/>
  <c r="K268" i="5"/>
  <c r="M268" i="5"/>
  <c r="B269" i="5"/>
  <c r="C269" i="5"/>
  <c r="I269" i="5"/>
  <c r="J269" i="5"/>
  <c r="K269" i="5"/>
  <c r="M269" i="5"/>
  <c r="B270" i="5"/>
  <c r="C270" i="5"/>
  <c r="I270" i="5"/>
  <c r="J270" i="5"/>
  <c r="K270" i="5"/>
  <c r="M270" i="5"/>
  <c r="B271" i="5"/>
  <c r="C271" i="5"/>
  <c r="I271" i="5"/>
  <c r="J271" i="5"/>
  <c r="K271" i="5"/>
  <c r="M271" i="5"/>
  <c r="B272" i="5"/>
  <c r="C272" i="5"/>
  <c r="I272" i="5"/>
  <c r="J272" i="5"/>
  <c r="K272" i="5"/>
  <c r="M272" i="5"/>
  <c r="B273" i="5"/>
  <c r="C273" i="5"/>
  <c r="I273" i="5"/>
  <c r="J273" i="5"/>
  <c r="K273" i="5"/>
  <c r="M273" i="5"/>
  <c r="B274" i="5"/>
  <c r="C274" i="5"/>
  <c r="I274" i="5"/>
  <c r="J274" i="5"/>
  <c r="K274" i="5"/>
  <c r="M274" i="5"/>
  <c r="B275" i="5"/>
  <c r="C275" i="5"/>
  <c r="I275" i="5"/>
  <c r="J275" i="5"/>
  <c r="K275" i="5"/>
  <c r="M275" i="5"/>
  <c r="B276" i="5"/>
  <c r="C276" i="5"/>
  <c r="I276" i="5"/>
  <c r="J276" i="5"/>
  <c r="K276" i="5"/>
  <c r="M276" i="5"/>
  <c r="B277" i="5"/>
  <c r="C277" i="5"/>
  <c r="I277" i="5"/>
  <c r="J277" i="5"/>
  <c r="K277" i="5"/>
  <c r="M277" i="5"/>
  <c r="B278" i="5"/>
  <c r="C278" i="5"/>
  <c r="I278" i="5"/>
  <c r="J278" i="5"/>
  <c r="K278" i="5"/>
  <c r="M278" i="5"/>
  <c r="B279" i="5"/>
  <c r="C279" i="5"/>
  <c r="I279" i="5"/>
  <c r="J279" i="5"/>
  <c r="K279" i="5"/>
  <c r="M279" i="5"/>
  <c r="B280" i="5"/>
  <c r="C280" i="5"/>
  <c r="I280" i="5"/>
  <c r="J280" i="5"/>
  <c r="K280" i="5"/>
  <c r="M280" i="5"/>
  <c r="B281" i="5"/>
  <c r="C281" i="5"/>
  <c r="I281" i="5"/>
  <c r="J281" i="5"/>
  <c r="K281" i="5"/>
  <c r="M281" i="5"/>
  <c r="B282" i="5"/>
  <c r="C282" i="5"/>
  <c r="I282" i="5"/>
  <c r="J282" i="5"/>
  <c r="K282" i="5"/>
  <c r="M282" i="5"/>
  <c r="B283" i="5"/>
  <c r="C283" i="5"/>
  <c r="I283" i="5"/>
  <c r="J283" i="5"/>
  <c r="K283" i="5"/>
  <c r="M283" i="5"/>
  <c r="B284" i="5"/>
  <c r="C284" i="5"/>
  <c r="I284" i="5"/>
  <c r="J284" i="5"/>
  <c r="K284" i="5"/>
  <c r="M284" i="5"/>
  <c r="B285" i="5"/>
  <c r="C285" i="5"/>
  <c r="I285" i="5"/>
  <c r="J285" i="5"/>
  <c r="K285" i="5"/>
  <c r="M285" i="5"/>
  <c r="B286" i="5"/>
  <c r="C286" i="5"/>
  <c r="I286" i="5"/>
  <c r="J286" i="5"/>
  <c r="K286" i="5"/>
  <c r="M286" i="5"/>
  <c r="B287" i="5"/>
  <c r="C287" i="5"/>
  <c r="I287" i="5"/>
  <c r="J287" i="5"/>
  <c r="K287" i="5"/>
  <c r="M287" i="5"/>
  <c r="B288" i="5"/>
  <c r="C288" i="5"/>
  <c r="I288" i="5"/>
  <c r="J288" i="5"/>
  <c r="K288" i="5"/>
  <c r="M288" i="5"/>
  <c r="B289" i="5"/>
  <c r="C289" i="5"/>
  <c r="I289" i="5"/>
  <c r="J289" i="5"/>
  <c r="K289" i="5"/>
  <c r="M289" i="5"/>
  <c r="B290" i="5"/>
  <c r="C290" i="5"/>
  <c r="I290" i="5"/>
  <c r="J290" i="5"/>
  <c r="K290" i="5"/>
  <c r="M290" i="5"/>
  <c r="B291" i="5"/>
  <c r="C291" i="5"/>
  <c r="I291" i="5"/>
  <c r="J291" i="5"/>
  <c r="K291" i="5"/>
  <c r="M291" i="5"/>
  <c r="B292" i="5"/>
  <c r="C292" i="5"/>
  <c r="I292" i="5"/>
  <c r="J292" i="5"/>
  <c r="K292" i="5"/>
  <c r="M292" i="5"/>
  <c r="B293" i="5"/>
  <c r="C293" i="5"/>
  <c r="I293" i="5"/>
  <c r="J293" i="5"/>
  <c r="K293" i="5"/>
  <c r="M293" i="5"/>
  <c r="B294" i="5"/>
  <c r="C294" i="5"/>
  <c r="I294" i="5"/>
  <c r="J294" i="5"/>
  <c r="K294" i="5"/>
  <c r="M294" i="5"/>
  <c r="B295" i="5"/>
  <c r="C295" i="5"/>
  <c r="I295" i="5"/>
  <c r="J295" i="5"/>
  <c r="K295" i="5"/>
  <c r="M295" i="5"/>
  <c r="B296" i="5"/>
  <c r="C296" i="5"/>
  <c r="I296" i="5"/>
  <c r="J296" i="5"/>
  <c r="K296" i="5"/>
  <c r="M296" i="5"/>
  <c r="B297" i="5"/>
  <c r="C297" i="5"/>
  <c r="I297" i="5"/>
  <c r="J297" i="5"/>
  <c r="K297" i="5"/>
  <c r="M297" i="5"/>
  <c r="B298" i="5"/>
  <c r="C298" i="5"/>
  <c r="I298" i="5"/>
  <c r="J298" i="5"/>
  <c r="K298" i="5"/>
  <c r="M298" i="5"/>
  <c r="B299" i="5"/>
  <c r="C299" i="5"/>
  <c r="I299" i="5"/>
  <c r="J299" i="5"/>
  <c r="K299" i="5"/>
  <c r="M299" i="5"/>
  <c r="B300" i="5"/>
  <c r="C300" i="5"/>
  <c r="I300" i="5"/>
  <c r="J300" i="5"/>
  <c r="K300" i="5"/>
  <c r="M300" i="5"/>
  <c r="B301" i="5"/>
  <c r="C301" i="5"/>
  <c r="I301" i="5"/>
  <c r="J301" i="5"/>
  <c r="K301" i="5"/>
  <c r="M301" i="5"/>
  <c r="B302" i="5"/>
  <c r="C302" i="5"/>
  <c r="I302" i="5"/>
  <c r="J302" i="5"/>
  <c r="K302" i="5"/>
  <c r="M302" i="5"/>
  <c r="B303" i="5"/>
  <c r="C303" i="5"/>
  <c r="I303" i="5"/>
  <c r="J303" i="5"/>
  <c r="K303" i="5"/>
  <c r="M303" i="5"/>
  <c r="B304" i="5"/>
  <c r="C304" i="5"/>
  <c r="I304" i="5"/>
  <c r="J304" i="5"/>
  <c r="K304" i="5"/>
  <c r="M304" i="5"/>
  <c r="B305" i="5"/>
  <c r="C305" i="5"/>
  <c r="I305" i="5"/>
  <c r="J305" i="5"/>
  <c r="K305" i="5"/>
  <c r="M305" i="5"/>
  <c r="B306" i="5"/>
  <c r="C306" i="5"/>
  <c r="I306" i="5"/>
  <c r="J306" i="5"/>
  <c r="K306" i="5"/>
  <c r="M306" i="5"/>
  <c r="B307" i="5"/>
  <c r="C307" i="5"/>
  <c r="I307" i="5"/>
  <c r="J307" i="5"/>
  <c r="K307" i="5"/>
  <c r="M307" i="5"/>
  <c r="B308" i="5"/>
  <c r="C308" i="5"/>
  <c r="I308" i="5"/>
  <c r="J308" i="5"/>
  <c r="K308" i="5"/>
  <c r="M308" i="5"/>
  <c r="B309" i="5"/>
  <c r="C309" i="5"/>
  <c r="I309" i="5"/>
  <c r="J309" i="5"/>
  <c r="K309" i="5"/>
  <c r="M309" i="5"/>
  <c r="B310" i="5"/>
  <c r="C310" i="5"/>
  <c r="I310" i="5"/>
  <c r="J310" i="5"/>
  <c r="K310" i="5"/>
  <c r="M310" i="5"/>
  <c r="B311" i="5"/>
  <c r="C311" i="5"/>
  <c r="I311" i="5"/>
  <c r="J311" i="5"/>
  <c r="K311" i="5"/>
  <c r="M311" i="5"/>
  <c r="B312" i="5"/>
  <c r="C312" i="5"/>
  <c r="I312" i="5"/>
  <c r="J312" i="5"/>
  <c r="K312" i="5"/>
  <c r="M312" i="5"/>
  <c r="B313" i="5"/>
  <c r="C313" i="5"/>
  <c r="I313" i="5"/>
  <c r="J313" i="5"/>
  <c r="K313" i="5"/>
  <c r="M313" i="5"/>
  <c r="B314" i="5"/>
  <c r="C314" i="5"/>
  <c r="I314" i="5"/>
  <c r="J314" i="5"/>
  <c r="K314" i="5"/>
  <c r="M314" i="5"/>
  <c r="B315" i="5"/>
  <c r="C315" i="5"/>
  <c r="I315" i="5"/>
  <c r="J315" i="5"/>
  <c r="K315" i="5"/>
  <c r="M315" i="5"/>
  <c r="B316" i="5"/>
  <c r="C316" i="5"/>
  <c r="I316" i="5"/>
  <c r="J316" i="5"/>
  <c r="K316" i="5"/>
  <c r="M316" i="5"/>
  <c r="B317" i="5"/>
  <c r="C317" i="5"/>
  <c r="I317" i="5"/>
  <c r="J317" i="5"/>
  <c r="K317" i="5"/>
  <c r="M317" i="5"/>
  <c r="B318" i="5"/>
  <c r="C318" i="5"/>
  <c r="I318" i="5"/>
  <c r="J318" i="5"/>
  <c r="K318" i="5"/>
  <c r="M318" i="5"/>
  <c r="B319" i="5"/>
  <c r="C319" i="5"/>
  <c r="I319" i="5"/>
  <c r="J319" i="5"/>
  <c r="K319" i="5"/>
  <c r="M319" i="5"/>
  <c r="B320" i="5"/>
  <c r="C320" i="5"/>
  <c r="I320" i="5"/>
  <c r="J320" i="5"/>
  <c r="K320" i="5"/>
  <c r="M320" i="5"/>
  <c r="B321" i="5"/>
  <c r="C321" i="5"/>
  <c r="I321" i="5"/>
  <c r="J321" i="5"/>
  <c r="K321" i="5"/>
  <c r="M321" i="5"/>
  <c r="B322" i="5"/>
  <c r="C322" i="5"/>
  <c r="I322" i="5"/>
  <c r="J322" i="5"/>
  <c r="K322" i="5"/>
  <c r="M322" i="5"/>
  <c r="B323" i="5"/>
  <c r="C323" i="5"/>
  <c r="I323" i="5"/>
  <c r="J323" i="5"/>
  <c r="K323" i="5"/>
  <c r="M323" i="5"/>
  <c r="B324" i="5"/>
  <c r="C324" i="5"/>
  <c r="I324" i="5"/>
  <c r="J324" i="5"/>
  <c r="K324" i="5"/>
  <c r="M324" i="5"/>
  <c r="B325" i="5"/>
  <c r="C325" i="5"/>
  <c r="I325" i="5"/>
  <c r="J325" i="5"/>
  <c r="K325" i="5"/>
  <c r="M325" i="5"/>
  <c r="B326" i="5"/>
  <c r="C326" i="5"/>
  <c r="I326" i="5"/>
  <c r="J326" i="5"/>
  <c r="K326" i="5"/>
  <c r="M326" i="5"/>
  <c r="B327" i="5"/>
  <c r="C327" i="5"/>
  <c r="I327" i="5"/>
  <c r="J327" i="5"/>
  <c r="K327" i="5"/>
  <c r="M327" i="5"/>
  <c r="B328" i="5"/>
  <c r="C328" i="5"/>
  <c r="I328" i="5"/>
  <c r="J328" i="5"/>
  <c r="K328" i="5"/>
  <c r="M328" i="5"/>
  <c r="B329" i="5"/>
  <c r="C329" i="5"/>
  <c r="I329" i="5"/>
  <c r="J329" i="5"/>
  <c r="K329" i="5"/>
  <c r="M329" i="5"/>
  <c r="B330" i="5"/>
  <c r="C330" i="5"/>
  <c r="I330" i="5"/>
  <c r="J330" i="5"/>
  <c r="K330" i="5"/>
  <c r="M330" i="5"/>
  <c r="B331" i="5"/>
  <c r="C331" i="5"/>
  <c r="I331" i="5"/>
  <c r="J331" i="5"/>
  <c r="K331" i="5"/>
  <c r="M331" i="5"/>
  <c r="B332" i="5"/>
  <c r="C332" i="5"/>
  <c r="I332" i="5"/>
  <c r="J332" i="5"/>
  <c r="K332" i="5"/>
  <c r="M332" i="5"/>
  <c r="B333" i="5"/>
  <c r="C333" i="5"/>
  <c r="I333" i="5"/>
  <c r="J333" i="5"/>
  <c r="K333" i="5"/>
  <c r="M333" i="5"/>
  <c r="B334" i="5"/>
  <c r="C334" i="5"/>
  <c r="I334" i="5"/>
  <c r="J334" i="5"/>
  <c r="K334" i="5"/>
  <c r="M334" i="5"/>
  <c r="B335" i="5"/>
  <c r="C335" i="5"/>
  <c r="I335" i="5"/>
  <c r="J335" i="5"/>
  <c r="K335" i="5"/>
  <c r="M335" i="5"/>
  <c r="B336" i="5"/>
  <c r="C336" i="5"/>
  <c r="I336" i="5"/>
  <c r="J336" i="5"/>
  <c r="K336" i="5"/>
  <c r="M336" i="5"/>
  <c r="B337" i="5"/>
  <c r="C337" i="5"/>
  <c r="I337" i="5"/>
  <c r="J337" i="5"/>
  <c r="K337" i="5"/>
  <c r="M337" i="5"/>
  <c r="B338" i="5"/>
  <c r="C338" i="5"/>
  <c r="I338" i="5"/>
  <c r="J338" i="5"/>
  <c r="K338" i="5"/>
  <c r="M338" i="5"/>
  <c r="B339" i="5"/>
  <c r="C339" i="5"/>
  <c r="I339" i="5"/>
  <c r="J339" i="5"/>
  <c r="K339" i="5"/>
  <c r="M339" i="5"/>
  <c r="B340" i="5"/>
  <c r="C340" i="5"/>
  <c r="I340" i="5"/>
  <c r="J340" i="5"/>
  <c r="K340" i="5"/>
  <c r="M340" i="5"/>
  <c r="B341" i="5"/>
  <c r="C341" i="5"/>
  <c r="I341" i="5"/>
  <c r="J341" i="5"/>
  <c r="K341" i="5"/>
  <c r="M341" i="5"/>
  <c r="B342" i="5"/>
  <c r="C342" i="5"/>
  <c r="I342" i="5"/>
  <c r="J342" i="5"/>
  <c r="K342" i="5"/>
  <c r="M342" i="5"/>
  <c r="B343" i="5"/>
  <c r="C343" i="5"/>
  <c r="I343" i="5"/>
  <c r="J343" i="5"/>
  <c r="K343" i="5"/>
  <c r="M343" i="5"/>
  <c r="B344" i="5"/>
  <c r="C344" i="5"/>
  <c r="I344" i="5"/>
  <c r="J344" i="5"/>
  <c r="K344" i="5"/>
  <c r="M344" i="5"/>
  <c r="B345" i="5"/>
  <c r="C345" i="5"/>
  <c r="I345" i="5"/>
  <c r="J345" i="5"/>
  <c r="K345" i="5"/>
  <c r="M345" i="5"/>
  <c r="B346" i="5"/>
  <c r="C346" i="5"/>
  <c r="I346" i="5"/>
  <c r="J346" i="5"/>
  <c r="K346" i="5"/>
  <c r="M346" i="5"/>
  <c r="B347" i="5"/>
  <c r="C347" i="5"/>
  <c r="I347" i="5"/>
  <c r="J347" i="5"/>
  <c r="K347" i="5"/>
  <c r="M347" i="5"/>
  <c r="B348" i="5"/>
  <c r="C348" i="5"/>
  <c r="I348" i="5"/>
  <c r="J348" i="5"/>
  <c r="K348" i="5"/>
  <c r="M348" i="5"/>
  <c r="B349" i="5"/>
  <c r="C349" i="5"/>
  <c r="I349" i="5"/>
  <c r="J349" i="5"/>
  <c r="K349" i="5"/>
  <c r="M349" i="5"/>
  <c r="B350" i="5"/>
  <c r="C350" i="5"/>
  <c r="I350" i="5"/>
  <c r="J350" i="5"/>
  <c r="K350" i="5"/>
  <c r="M350" i="5"/>
  <c r="B351" i="5"/>
  <c r="C351" i="5"/>
  <c r="I351" i="5"/>
  <c r="J351" i="5"/>
  <c r="K351" i="5"/>
  <c r="M351" i="5"/>
  <c r="B352" i="5"/>
  <c r="C352" i="5"/>
  <c r="I352" i="5"/>
  <c r="J352" i="5"/>
  <c r="K352" i="5"/>
  <c r="M352" i="5"/>
  <c r="B353" i="5"/>
  <c r="C353" i="5"/>
  <c r="I353" i="5"/>
  <c r="J353" i="5"/>
  <c r="K353" i="5"/>
  <c r="M353" i="5"/>
  <c r="B354" i="5"/>
  <c r="C354" i="5"/>
  <c r="I354" i="5"/>
  <c r="J354" i="5"/>
  <c r="K354" i="5"/>
  <c r="M354" i="5"/>
  <c r="B355" i="5"/>
  <c r="C355" i="5"/>
  <c r="I355" i="5"/>
  <c r="J355" i="5"/>
  <c r="K355" i="5"/>
  <c r="M355" i="5"/>
  <c r="B356" i="5"/>
  <c r="C356" i="5"/>
  <c r="I356" i="5"/>
  <c r="J356" i="5"/>
  <c r="K356" i="5"/>
  <c r="M356" i="5"/>
  <c r="B357" i="5"/>
  <c r="C357" i="5"/>
  <c r="I357" i="5"/>
  <c r="J357" i="5"/>
  <c r="K357" i="5"/>
  <c r="M357" i="5"/>
  <c r="B358" i="5"/>
  <c r="C358" i="5"/>
  <c r="I358" i="5"/>
  <c r="J358" i="5"/>
  <c r="K358" i="5"/>
  <c r="M358" i="5"/>
  <c r="B359" i="5"/>
  <c r="C359" i="5"/>
  <c r="I359" i="5"/>
  <c r="J359" i="5"/>
  <c r="K359" i="5"/>
  <c r="M359" i="5"/>
  <c r="B360" i="5"/>
  <c r="C360" i="5"/>
  <c r="I360" i="5"/>
  <c r="J360" i="5"/>
  <c r="K360" i="5"/>
  <c r="M360" i="5"/>
  <c r="B361" i="5"/>
  <c r="C361" i="5"/>
  <c r="I361" i="5"/>
  <c r="J361" i="5"/>
  <c r="K361" i="5"/>
  <c r="M361" i="5"/>
  <c r="B362" i="5"/>
  <c r="C362" i="5"/>
  <c r="I362" i="5"/>
  <c r="J362" i="5"/>
  <c r="K362" i="5"/>
  <c r="M362" i="5"/>
  <c r="B363" i="5"/>
  <c r="C363" i="5"/>
  <c r="I363" i="5"/>
  <c r="J363" i="5"/>
  <c r="K363" i="5"/>
  <c r="M363" i="5"/>
  <c r="B364" i="5"/>
  <c r="C364" i="5"/>
  <c r="I364" i="5"/>
  <c r="J364" i="5"/>
  <c r="K364" i="5"/>
  <c r="M364" i="5"/>
  <c r="B365" i="5"/>
  <c r="C365" i="5"/>
  <c r="I365" i="5"/>
  <c r="J365" i="5"/>
  <c r="K365" i="5"/>
  <c r="M365" i="5"/>
  <c r="B366" i="5"/>
  <c r="C366" i="5"/>
  <c r="I366" i="5"/>
  <c r="J366" i="5"/>
  <c r="K366" i="5"/>
  <c r="M366" i="5"/>
  <c r="B367" i="5"/>
  <c r="C367" i="5"/>
  <c r="I367" i="5"/>
  <c r="J367" i="5"/>
  <c r="K367" i="5"/>
  <c r="M367" i="5"/>
  <c r="B368" i="5"/>
  <c r="C368" i="5"/>
  <c r="I368" i="5"/>
  <c r="J368" i="5"/>
  <c r="K368" i="5"/>
  <c r="M368" i="5"/>
  <c r="B369" i="5"/>
  <c r="C369" i="5"/>
  <c r="I369" i="5"/>
  <c r="J369" i="5"/>
  <c r="K369" i="5"/>
  <c r="M369" i="5"/>
  <c r="B370" i="5"/>
  <c r="C370" i="5"/>
  <c r="I370" i="5"/>
  <c r="J370" i="5"/>
  <c r="K370" i="5"/>
  <c r="M370" i="5"/>
  <c r="B371" i="5"/>
  <c r="C371" i="5"/>
  <c r="I371" i="5"/>
  <c r="J371" i="5"/>
  <c r="K371" i="5"/>
  <c r="M371" i="5"/>
  <c r="B372" i="5"/>
  <c r="C372" i="5"/>
  <c r="I372" i="5"/>
  <c r="J372" i="5"/>
  <c r="K372" i="5"/>
  <c r="M372" i="5"/>
  <c r="B373" i="5"/>
  <c r="C373" i="5"/>
  <c r="I373" i="5"/>
  <c r="J373" i="5"/>
  <c r="K373" i="5"/>
  <c r="M373" i="5"/>
  <c r="B374" i="5"/>
  <c r="C374" i="5"/>
  <c r="I374" i="5"/>
  <c r="J374" i="5"/>
  <c r="K374" i="5"/>
  <c r="M374" i="5"/>
  <c r="B375" i="5"/>
  <c r="C375" i="5"/>
  <c r="I375" i="5"/>
  <c r="J375" i="5"/>
  <c r="K375" i="5"/>
  <c r="M375" i="5"/>
  <c r="B376" i="5"/>
  <c r="C376" i="5"/>
  <c r="I376" i="5"/>
  <c r="J376" i="5"/>
  <c r="K376" i="5"/>
  <c r="M376" i="5"/>
  <c r="B377" i="5"/>
  <c r="C377" i="5"/>
  <c r="I377" i="5"/>
  <c r="J377" i="5"/>
  <c r="K377" i="5"/>
  <c r="M377" i="5"/>
  <c r="B378" i="5"/>
  <c r="C378" i="5"/>
  <c r="I378" i="5"/>
  <c r="J378" i="5"/>
  <c r="K378" i="5"/>
  <c r="M378" i="5"/>
  <c r="B379" i="5"/>
  <c r="C379" i="5"/>
  <c r="I379" i="5"/>
  <c r="J379" i="5"/>
  <c r="K379" i="5"/>
  <c r="M379" i="5"/>
  <c r="B380" i="5"/>
  <c r="C380" i="5"/>
  <c r="I380" i="5"/>
  <c r="J380" i="5"/>
  <c r="K380" i="5"/>
  <c r="M380" i="5"/>
  <c r="B381" i="5"/>
  <c r="C381" i="5"/>
  <c r="I381" i="5"/>
  <c r="J381" i="5"/>
  <c r="K381" i="5"/>
  <c r="M381" i="5"/>
  <c r="B382" i="5"/>
  <c r="C382" i="5"/>
  <c r="I382" i="5"/>
  <c r="J382" i="5"/>
  <c r="K382" i="5"/>
  <c r="M382" i="5"/>
  <c r="B383" i="5"/>
  <c r="C383" i="5"/>
  <c r="I383" i="5"/>
  <c r="J383" i="5"/>
  <c r="K383" i="5"/>
  <c r="M383" i="5"/>
  <c r="B384" i="5"/>
  <c r="C384" i="5"/>
  <c r="I384" i="5"/>
  <c r="J384" i="5"/>
  <c r="K384" i="5"/>
  <c r="M384" i="5"/>
  <c r="B385" i="5"/>
  <c r="C385" i="5"/>
  <c r="I385" i="5"/>
  <c r="J385" i="5"/>
  <c r="K385" i="5"/>
  <c r="M385" i="5"/>
  <c r="B386" i="5"/>
  <c r="C386" i="5"/>
  <c r="I386" i="5"/>
  <c r="J386" i="5"/>
  <c r="K386" i="5"/>
  <c r="M386" i="5"/>
  <c r="B387" i="5"/>
  <c r="C387" i="5"/>
  <c r="I387" i="5"/>
  <c r="J387" i="5"/>
  <c r="K387" i="5"/>
  <c r="M387" i="5"/>
  <c r="B388" i="5"/>
  <c r="C388" i="5"/>
  <c r="I388" i="5"/>
  <c r="J388" i="5"/>
  <c r="K388" i="5"/>
  <c r="M388" i="5"/>
  <c r="B389" i="5"/>
  <c r="C389" i="5"/>
  <c r="I389" i="5"/>
  <c r="J389" i="5"/>
  <c r="K389" i="5"/>
  <c r="M389" i="5"/>
  <c r="B390" i="5"/>
  <c r="C390" i="5"/>
  <c r="I390" i="5"/>
  <c r="J390" i="5"/>
  <c r="K390" i="5"/>
  <c r="M390" i="5"/>
  <c r="B391" i="5"/>
  <c r="C391" i="5"/>
  <c r="I391" i="5"/>
  <c r="J391" i="5"/>
  <c r="K391" i="5"/>
  <c r="M391" i="5"/>
  <c r="B392" i="5"/>
  <c r="C392" i="5"/>
  <c r="I392" i="5"/>
  <c r="J392" i="5"/>
  <c r="K392" i="5"/>
  <c r="M392" i="5"/>
  <c r="B393" i="5"/>
  <c r="C393" i="5"/>
  <c r="I393" i="5"/>
  <c r="J393" i="5"/>
  <c r="K393" i="5"/>
  <c r="M393" i="5"/>
  <c r="B394" i="5"/>
  <c r="C394" i="5"/>
  <c r="I394" i="5"/>
  <c r="J394" i="5"/>
  <c r="K394" i="5"/>
  <c r="M394" i="5"/>
  <c r="B395" i="5"/>
  <c r="C395" i="5"/>
  <c r="I395" i="5"/>
  <c r="J395" i="5"/>
  <c r="K395" i="5"/>
  <c r="M395" i="5"/>
  <c r="B396" i="5"/>
  <c r="C396" i="5"/>
  <c r="I396" i="5"/>
  <c r="J396" i="5"/>
  <c r="K396" i="5"/>
  <c r="M396" i="5"/>
  <c r="B397" i="5"/>
  <c r="C397" i="5"/>
  <c r="I397" i="5"/>
  <c r="J397" i="5"/>
  <c r="K397" i="5"/>
  <c r="M397" i="5"/>
  <c r="B398" i="5"/>
  <c r="C398" i="5"/>
  <c r="I398" i="5"/>
  <c r="J398" i="5"/>
  <c r="K398" i="5"/>
  <c r="M398" i="5"/>
  <c r="B399" i="5"/>
  <c r="C399" i="5"/>
  <c r="I399" i="5"/>
  <c r="J399" i="5"/>
  <c r="K399" i="5"/>
  <c r="M399" i="5"/>
  <c r="B400" i="5"/>
  <c r="C400" i="5"/>
  <c r="I400" i="5"/>
  <c r="J400" i="5"/>
  <c r="K400" i="5"/>
  <c r="M400" i="5"/>
  <c r="B401" i="5"/>
  <c r="C401" i="5"/>
  <c r="I401" i="5"/>
  <c r="J401" i="5"/>
  <c r="K401" i="5"/>
  <c r="M401" i="5"/>
  <c r="B402" i="5"/>
  <c r="C402" i="5"/>
  <c r="I402" i="5"/>
  <c r="J402" i="5"/>
  <c r="K402" i="5"/>
  <c r="M402" i="5"/>
  <c r="B403" i="5"/>
  <c r="C403" i="5"/>
  <c r="I403" i="5"/>
  <c r="J403" i="5"/>
  <c r="K403" i="5"/>
  <c r="M403" i="5"/>
  <c r="B404" i="5"/>
  <c r="C404" i="5"/>
  <c r="I404" i="5"/>
  <c r="J404" i="5"/>
  <c r="K404" i="5"/>
  <c r="M404" i="5"/>
  <c r="B405" i="5"/>
  <c r="C405" i="5"/>
  <c r="I405" i="5"/>
  <c r="J405" i="5"/>
  <c r="K405" i="5"/>
  <c r="M405" i="5"/>
  <c r="B406" i="5"/>
  <c r="C406" i="5"/>
  <c r="I406" i="5"/>
  <c r="J406" i="5"/>
  <c r="K406" i="5"/>
  <c r="M406" i="5"/>
  <c r="B407" i="5"/>
  <c r="C407" i="5"/>
  <c r="I407" i="5"/>
  <c r="J407" i="5"/>
  <c r="K407" i="5"/>
  <c r="M407" i="5"/>
  <c r="B408" i="5"/>
  <c r="C408" i="5"/>
  <c r="I408" i="5"/>
  <c r="J408" i="5"/>
  <c r="K408" i="5"/>
  <c r="M408" i="5"/>
  <c r="B409" i="5"/>
  <c r="C409" i="5"/>
  <c r="I409" i="5"/>
  <c r="J409" i="5"/>
  <c r="K409" i="5"/>
  <c r="M409" i="5"/>
  <c r="B410" i="5"/>
  <c r="C410" i="5"/>
  <c r="I410" i="5"/>
  <c r="J410" i="5"/>
  <c r="K410" i="5"/>
  <c r="M410" i="5"/>
  <c r="B411" i="5"/>
  <c r="C411" i="5"/>
  <c r="I411" i="5"/>
  <c r="J411" i="5"/>
  <c r="K411" i="5"/>
  <c r="M411" i="5"/>
  <c r="B412" i="5"/>
  <c r="C412" i="5"/>
  <c r="I412" i="5"/>
  <c r="J412" i="5"/>
  <c r="K412" i="5"/>
  <c r="M412" i="5"/>
  <c r="B413" i="5"/>
  <c r="C413" i="5"/>
  <c r="I413" i="5"/>
  <c r="J413" i="5"/>
  <c r="K413" i="5"/>
  <c r="M413" i="5"/>
  <c r="B414" i="5"/>
  <c r="C414" i="5"/>
  <c r="I414" i="5"/>
  <c r="J414" i="5"/>
  <c r="K414" i="5"/>
  <c r="M414" i="5"/>
  <c r="B415" i="5"/>
  <c r="C415" i="5"/>
  <c r="I415" i="5"/>
  <c r="J415" i="5"/>
  <c r="K415" i="5"/>
  <c r="M415" i="5"/>
  <c r="B416" i="5"/>
  <c r="C416" i="5"/>
  <c r="I416" i="5"/>
  <c r="J416" i="5"/>
  <c r="K416" i="5"/>
  <c r="M416" i="5"/>
  <c r="B417" i="5"/>
  <c r="C417" i="5"/>
  <c r="I417" i="5"/>
  <c r="J417" i="5"/>
  <c r="K417" i="5"/>
  <c r="M417" i="5"/>
  <c r="B418" i="5"/>
  <c r="C418" i="5"/>
  <c r="I418" i="5"/>
  <c r="J418" i="5"/>
  <c r="K418" i="5"/>
  <c r="M418" i="5"/>
  <c r="B419" i="5"/>
  <c r="C419" i="5"/>
  <c r="I419" i="5"/>
  <c r="J419" i="5"/>
  <c r="K419" i="5"/>
  <c r="M419" i="5"/>
  <c r="D16" i="6"/>
  <c r="F16" i="6"/>
  <c r="D52" i="6"/>
  <c r="F52" i="6"/>
  <c r="F285" i="5"/>
  <c r="E320" i="5"/>
  <c r="F129" i="5"/>
  <c r="F18" i="5"/>
  <c r="F50" i="5"/>
  <c r="F76" i="5"/>
  <c r="F108" i="5"/>
  <c r="F140" i="5"/>
  <c r="F172" i="5"/>
  <c r="F204" i="5"/>
  <c r="F253" i="5"/>
  <c r="F289" i="5"/>
  <c r="F332" i="5"/>
  <c r="F22" i="5"/>
  <c r="F54" i="5"/>
  <c r="F86" i="5"/>
  <c r="F118" i="5"/>
  <c r="F150" i="5"/>
  <c r="F182" i="5"/>
  <c r="F221" i="5"/>
  <c r="F257" i="5"/>
  <c r="F300" i="5"/>
  <c r="F366" i="5"/>
  <c r="E400" i="5"/>
  <c r="F29" i="5"/>
  <c r="F61" i="5"/>
  <c r="F93" i="5"/>
  <c r="F125" i="5"/>
  <c r="F157" i="5"/>
  <c r="F189" i="5"/>
  <c r="F225" i="5"/>
  <c r="F268" i="5"/>
  <c r="F317" i="5"/>
  <c r="F398" i="5"/>
  <c r="E137" i="5"/>
  <c r="F419" i="5"/>
  <c r="F415" i="5"/>
  <c r="F411" i="5"/>
  <c r="F407" i="5"/>
  <c r="F403" i="5"/>
  <c r="F399" i="5"/>
  <c r="F395" i="5"/>
  <c r="F391" i="5"/>
  <c r="F387" i="5"/>
  <c r="F383" i="5"/>
  <c r="F379" i="5"/>
  <c r="F375" i="5"/>
  <c r="F371" i="5"/>
  <c r="F367" i="5"/>
  <c r="F363" i="5"/>
  <c r="F359" i="5"/>
  <c r="F355" i="5"/>
  <c r="F351" i="5"/>
  <c r="F347" i="5"/>
  <c r="F343" i="5"/>
  <c r="F339" i="5"/>
  <c r="F335" i="5"/>
  <c r="F331" i="5"/>
  <c r="F327" i="5"/>
  <c r="F323" i="5"/>
  <c r="F319" i="5"/>
  <c r="F315" i="5"/>
  <c r="F311" i="5"/>
  <c r="F171" i="5"/>
  <c r="F155" i="5"/>
  <c r="F139" i="5"/>
  <c r="F123" i="5"/>
  <c r="F107" i="5"/>
  <c r="F91" i="5"/>
  <c r="F75" i="5"/>
  <c r="F59" i="5"/>
  <c r="F43" i="5"/>
  <c r="F27" i="5"/>
  <c r="F11" i="5"/>
  <c r="F236" i="5"/>
  <c r="F97" i="5"/>
  <c r="F416" i="5"/>
  <c r="F412" i="5"/>
  <c r="F408" i="5"/>
  <c r="F404" i="5"/>
  <c r="F400" i="5"/>
  <c r="F396" i="5"/>
  <c r="F392" i="5"/>
  <c r="F388" i="5"/>
  <c r="F384" i="5"/>
  <c r="F380" i="5"/>
  <c r="F376" i="5"/>
  <c r="F193" i="5"/>
  <c r="F65" i="5"/>
  <c r="F417" i="5"/>
  <c r="F413" i="5"/>
  <c r="F409" i="5"/>
  <c r="F405" i="5"/>
  <c r="F401" i="5"/>
  <c r="F397" i="5"/>
  <c r="F393" i="5"/>
  <c r="F389" i="5"/>
  <c r="F385" i="5"/>
  <c r="F381" i="5"/>
  <c r="F377" i="5"/>
  <c r="F373" i="5"/>
  <c r="F369" i="5"/>
  <c r="F365" i="5"/>
  <c r="F361" i="5"/>
  <c r="F357" i="5"/>
  <c r="F353" i="5"/>
  <c r="F349" i="5"/>
  <c r="F345" i="5"/>
  <c r="F341" i="5"/>
  <c r="F333" i="5"/>
  <c r="F329" i="5"/>
  <c r="F325" i="5"/>
  <c r="F313" i="5"/>
  <c r="F309" i="5"/>
  <c r="F301" i="5"/>
  <c r="F297" i="5"/>
  <c r="F293" i="5"/>
  <c r="F281" i="5"/>
  <c r="F277" i="5"/>
  <c r="F269" i="5"/>
  <c r="F265" i="5"/>
  <c r="F261" i="5"/>
  <c r="F249" i="5"/>
  <c r="F245" i="5"/>
  <c r="F237" i="5"/>
  <c r="F233" i="5"/>
  <c r="F229" i="5"/>
  <c r="F217" i="5"/>
  <c r="F213" i="5"/>
  <c r="F205" i="5"/>
  <c r="F201" i="5"/>
  <c r="F197" i="5"/>
  <c r="F185" i="5"/>
  <c r="F181" i="5"/>
  <c r="F173" i="5"/>
  <c r="F321" i="5"/>
  <c r="F161" i="5"/>
  <c r="F33" i="5"/>
  <c r="F372" i="5"/>
  <c r="F368" i="5"/>
  <c r="F364" i="5"/>
  <c r="F360" i="5"/>
  <c r="F356" i="5"/>
  <c r="F352" i="5"/>
  <c r="F348" i="5"/>
  <c r="F344" i="5"/>
  <c r="F340" i="5"/>
  <c r="F336" i="5"/>
  <c r="F328" i="5"/>
  <c r="F324" i="5"/>
  <c r="F320" i="5"/>
  <c r="F316" i="5"/>
  <c r="F312" i="5"/>
  <c r="F308" i="5"/>
  <c r="F304" i="5"/>
  <c r="F296" i="5"/>
  <c r="F292" i="5"/>
  <c r="F288" i="5"/>
  <c r="F284" i="5"/>
  <c r="F280" i="5"/>
  <c r="F276" i="5"/>
  <c r="F272" i="5"/>
  <c r="F264" i="5"/>
  <c r="F260" i="5"/>
  <c r="F256" i="5"/>
  <c r="F252" i="5"/>
  <c r="F248" i="5"/>
  <c r="F244" i="5"/>
  <c r="F240" i="5"/>
  <c r="F232" i="5"/>
  <c r="F228" i="5"/>
  <c r="F224" i="5"/>
  <c r="F220" i="5"/>
  <c r="F216" i="5"/>
  <c r="F212" i="5"/>
  <c r="F208" i="5"/>
  <c r="F200" i="5"/>
  <c r="F196" i="5"/>
  <c r="F192" i="5"/>
  <c r="F188" i="5"/>
  <c r="F184" i="5"/>
  <c r="F180" i="5"/>
  <c r="F176" i="5"/>
  <c r="F160" i="5"/>
  <c r="F144" i="5"/>
  <c r="F128" i="5"/>
  <c r="F112" i="5"/>
  <c r="F96" i="5"/>
  <c r="F80" i="5"/>
  <c r="F64" i="5"/>
  <c r="F48" i="5"/>
  <c r="F32" i="5"/>
  <c r="F16" i="5"/>
  <c r="F169" i="5"/>
  <c r="F165" i="5"/>
  <c r="F153" i="5"/>
  <c r="F149" i="5"/>
  <c r="F141" i="5"/>
  <c r="F137" i="5"/>
  <c r="F133" i="5"/>
  <c r="F121" i="5"/>
  <c r="F117" i="5"/>
  <c r="F109" i="5"/>
  <c r="F105" i="5"/>
  <c r="F101" i="5"/>
  <c r="F89" i="5"/>
  <c r="F85" i="5"/>
  <c r="F77" i="5"/>
  <c r="F73" i="5"/>
  <c r="F69" i="5"/>
  <c r="F57" i="5"/>
  <c r="F53" i="5"/>
  <c r="F45" i="5"/>
  <c r="F41" i="5"/>
  <c r="F37" i="5"/>
  <c r="F25" i="5"/>
  <c r="F21" i="5"/>
  <c r="F13" i="5"/>
  <c r="F202" i="5"/>
  <c r="F198" i="5"/>
  <c r="F194" i="5"/>
  <c r="F190" i="5"/>
  <c r="F186" i="5"/>
  <c r="E150" i="5"/>
  <c r="E22" i="5"/>
  <c r="F418" i="5"/>
  <c r="F410" i="5"/>
  <c r="F402" i="5"/>
  <c r="F394" i="5"/>
  <c r="F386" i="5"/>
  <c r="F378" i="5"/>
  <c r="F370" i="5"/>
  <c r="F362" i="5"/>
  <c r="F354" i="5"/>
  <c r="F346" i="5"/>
  <c r="F338" i="5"/>
  <c r="F334" i="5"/>
  <c r="F330" i="5"/>
  <c r="F326" i="5"/>
  <c r="F322" i="5"/>
  <c r="F318" i="5"/>
  <c r="F314" i="5"/>
  <c r="F306" i="5"/>
  <c r="F302" i="5"/>
  <c r="F298" i="5"/>
  <c r="F294" i="5"/>
  <c r="F290" i="5"/>
  <c r="F286" i="5"/>
  <c r="F282" i="5"/>
  <c r="F274" i="5"/>
  <c r="F270" i="5"/>
  <c r="F266" i="5"/>
  <c r="F262" i="5"/>
  <c r="F258" i="5"/>
  <c r="F254" i="5"/>
  <c r="F250" i="5"/>
  <c r="F242" i="5"/>
  <c r="F238" i="5"/>
  <c r="F234" i="5"/>
  <c r="F230" i="5"/>
  <c r="F226" i="5"/>
  <c r="F222" i="5"/>
  <c r="F218" i="5"/>
  <c r="F210" i="5"/>
  <c r="F206" i="5"/>
  <c r="E3" i="5"/>
  <c r="F390" i="5"/>
  <c r="F358" i="5"/>
  <c r="F44" i="5"/>
  <c r="F307" i="5"/>
  <c r="F303" i="5"/>
  <c r="F299" i="5"/>
  <c r="F295" i="5"/>
  <c r="F291" i="5"/>
  <c r="F287" i="5"/>
  <c r="F283" i="5"/>
  <c r="F279" i="5"/>
  <c r="F275" i="5"/>
  <c r="F271" i="5"/>
  <c r="F267" i="5"/>
  <c r="F263" i="5"/>
  <c r="F259" i="5"/>
  <c r="F255" i="5"/>
  <c r="F251" i="5"/>
  <c r="F247" i="5"/>
  <c r="F243" i="5"/>
  <c r="F239" i="5"/>
  <c r="F235" i="5"/>
  <c r="F231" i="5"/>
  <c r="F227" i="5"/>
  <c r="F223" i="5"/>
  <c r="F219" i="5"/>
  <c r="F215" i="5"/>
  <c r="F211" i="5"/>
  <c r="F207" i="5"/>
  <c r="F203" i="5"/>
  <c r="F199" i="5"/>
  <c r="F195" i="5"/>
  <c r="F191" i="5"/>
  <c r="F187" i="5"/>
  <c r="F183" i="5"/>
  <c r="F179" i="5"/>
  <c r="F175" i="5"/>
  <c r="F167" i="5"/>
  <c r="F163" i="5"/>
  <c r="F159" i="5"/>
  <c r="F151" i="5"/>
  <c r="F147" i="5"/>
  <c r="F143" i="5"/>
  <c r="F135" i="5"/>
  <c r="F131" i="5"/>
  <c r="F127" i="5"/>
  <c r="F119" i="5"/>
  <c r="F115" i="5"/>
  <c r="F111" i="5"/>
  <c r="F103" i="5"/>
  <c r="F99" i="5"/>
  <c r="F95" i="5"/>
  <c r="F87" i="5"/>
  <c r="F83" i="5"/>
  <c r="F79" i="5"/>
  <c r="F71" i="5"/>
  <c r="F67" i="5"/>
  <c r="F63" i="5"/>
  <c r="F55" i="5"/>
  <c r="F51" i="5"/>
  <c r="F47" i="5"/>
  <c r="F39" i="5"/>
  <c r="F35" i="5"/>
  <c r="F31" i="5"/>
  <c r="F23" i="5"/>
  <c r="F19" i="5"/>
  <c r="F15" i="5"/>
  <c r="F7" i="5"/>
  <c r="F2" i="5"/>
  <c r="E2" i="5"/>
  <c r="E348" i="5"/>
  <c r="E308" i="5"/>
  <c r="E244" i="5"/>
  <c r="E180" i="5"/>
  <c r="F414" i="5"/>
  <c r="F382" i="5"/>
  <c r="F350" i="5"/>
  <c r="F12" i="5"/>
  <c r="F168" i="5"/>
  <c r="F164" i="5"/>
  <c r="E164" i="5"/>
  <c r="F156" i="5"/>
  <c r="F152" i="5"/>
  <c r="E152" i="5"/>
  <c r="F148" i="5"/>
  <c r="F136" i="5"/>
  <c r="F132" i="5"/>
  <c r="F124" i="5"/>
  <c r="F120" i="5"/>
  <c r="F116" i="5"/>
  <c r="E116" i="5"/>
  <c r="F104" i="5"/>
  <c r="F100" i="5"/>
  <c r="E100" i="5"/>
  <c r="F92" i="5"/>
  <c r="F88" i="5"/>
  <c r="E88" i="5"/>
  <c r="F84" i="5"/>
  <c r="F72" i="5"/>
  <c r="F68" i="5"/>
  <c r="F60" i="5"/>
  <c r="F56" i="5"/>
  <c r="F52" i="5"/>
  <c r="E52" i="5"/>
  <c r="F40" i="5"/>
  <c r="F36" i="5"/>
  <c r="E36" i="5"/>
  <c r="F28" i="5"/>
  <c r="F24" i="5"/>
  <c r="F20" i="5"/>
  <c r="F8" i="5"/>
  <c r="E8" i="5"/>
  <c r="F4" i="5"/>
  <c r="E315" i="5"/>
  <c r="E256" i="5"/>
  <c r="E128" i="5"/>
  <c r="E16" i="5"/>
  <c r="F406" i="5"/>
  <c r="F374" i="5"/>
  <c r="F342" i="5"/>
  <c r="F310" i="5"/>
  <c r="F278" i="5"/>
  <c r="F246" i="5"/>
  <c r="F214" i="5"/>
  <c r="F178" i="5"/>
  <c r="F146" i="5"/>
  <c r="F114" i="5"/>
  <c r="F82" i="5"/>
  <c r="F9" i="5"/>
  <c r="E190" i="5"/>
  <c r="F337" i="5"/>
  <c r="F305" i="5"/>
  <c r="F273" i="5"/>
  <c r="F241" i="5"/>
  <c r="F209" i="5"/>
  <c r="F177" i="5"/>
  <c r="F166" i="5"/>
  <c r="F145" i="5"/>
  <c r="F134" i="5"/>
  <c r="F113" i="5"/>
  <c r="F102" i="5"/>
  <c r="F81" i="5"/>
  <c r="F70" i="5"/>
  <c r="F49" i="5"/>
  <c r="F38" i="5"/>
  <c r="F17" i="5"/>
  <c r="F5" i="5"/>
  <c r="F174" i="5"/>
  <c r="F170" i="5"/>
  <c r="E170" i="5"/>
  <c r="F158" i="5"/>
  <c r="F154" i="5"/>
  <c r="E154" i="5"/>
  <c r="F142" i="5"/>
  <c r="F138" i="5"/>
  <c r="E138" i="5"/>
  <c r="F126" i="5"/>
  <c r="F122" i="5"/>
  <c r="E122" i="5"/>
  <c r="F110" i="5"/>
  <c r="F106" i="5"/>
  <c r="E106" i="5"/>
  <c r="F94" i="5"/>
  <c r="F90" i="5"/>
  <c r="F78" i="5"/>
  <c r="F74" i="5"/>
  <c r="E74" i="5"/>
  <c r="F62" i="5"/>
  <c r="F58" i="5"/>
  <c r="F46" i="5"/>
  <c r="F42" i="5"/>
  <c r="E42" i="5"/>
  <c r="F30" i="5"/>
  <c r="F26" i="5"/>
  <c r="E26" i="5"/>
  <c r="F14" i="5"/>
  <c r="F10" i="5"/>
  <c r="E10" i="5"/>
  <c r="F6" i="5"/>
  <c r="E413" i="5"/>
  <c r="E405" i="5"/>
  <c r="E397" i="5"/>
  <c r="E389" i="5"/>
  <c r="E381" i="5"/>
  <c r="E365" i="5"/>
  <c r="E349" i="5"/>
  <c r="E329" i="5"/>
  <c r="E301" i="5"/>
  <c r="E265" i="5"/>
  <c r="E237" i="5"/>
  <c r="E217" i="5"/>
  <c r="F162" i="5"/>
  <c r="F130" i="5"/>
  <c r="F98" i="5"/>
  <c r="F66" i="5"/>
  <c r="F34" i="5"/>
  <c r="D44" i="6"/>
  <c r="F44" i="6"/>
  <c r="E44" i="5"/>
  <c r="E185" i="6"/>
  <c r="F185" i="6"/>
  <c r="E185" i="5"/>
  <c r="E275" i="6"/>
  <c r="F275" i="6"/>
  <c r="E275" i="5"/>
  <c r="D353" i="6"/>
  <c r="F353" i="6"/>
  <c r="E353" i="5"/>
  <c r="E205" i="6"/>
  <c r="F205" i="6"/>
  <c r="E205" i="5"/>
  <c r="D323" i="6"/>
  <c r="F323" i="6"/>
  <c r="E323" i="5"/>
  <c r="E381" i="6"/>
  <c r="F381" i="6"/>
  <c r="D108" i="6"/>
  <c r="F108" i="6"/>
  <c r="E108" i="5"/>
  <c r="E389" i="6"/>
  <c r="F389" i="6"/>
  <c r="F231" i="6"/>
  <c r="E231" i="5"/>
  <c r="D11" i="6"/>
  <c r="F11" i="6"/>
  <c r="E11" i="5"/>
  <c r="D28" i="6"/>
  <c r="F28" i="6"/>
  <c r="E28" i="5"/>
  <c r="D76" i="6"/>
  <c r="F76" i="6"/>
  <c r="E76" i="5"/>
  <c r="E233" i="6"/>
  <c r="F233" i="6"/>
  <c r="E233" i="5"/>
  <c r="E261" i="6"/>
  <c r="F261" i="6"/>
  <c r="E261" i="5"/>
  <c r="D274" i="6"/>
  <c r="F274" i="6"/>
  <c r="E274" i="5"/>
  <c r="E277" i="6"/>
  <c r="F277" i="6"/>
  <c r="E277" i="5"/>
  <c r="E359" i="6"/>
  <c r="F359" i="6"/>
  <c r="E359" i="5"/>
  <c r="E397" i="6"/>
  <c r="F397" i="6"/>
  <c r="D84" i="6"/>
  <c r="F84" i="6"/>
  <c r="E84" i="5"/>
  <c r="E135" i="6"/>
  <c r="F135" i="6"/>
  <c r="E135" i="5"/>
  <c r="E245" i="6"/>
  <c r="F245" i="6"/>
  <c r="E245" i="5"/>
  <c r="D258" i="6"/>
  <c r="F258" i="6"/>
  <c r="E258" i="5"/>
  <c r="E265" i="6"/>
  <c r="F265" i="6"/>
  <c r="E293" i="6"/>
  <c r="F293" i="6"/>
  <c r="E293" i="5"/>
  <c r="E339" i="6"/>
  <c r="F339" i="6"/>
  <c r="E339" i="5"/>
  <c r="E365" i="6"/>
  <c r="F365" i="6"/>
  <c r="E413" i="6"/>
  <c r="F413" i="6"/>
  <c r="E249" i="6"/>
  <c r="F249" i="6"/>
  <c r="E249" i="5"/>
  <c r="E307" i="6"/>
  <c r="F307" i="6"/>
  <c r="E307" i="5"/>
  <c r="D338" i="6"/>
  <c r="F338" i="6"/>
  <c r="E338" i="5"/>
  <c r="D349" i="6"/>
  <c r="F349" i="6"/>
  <c r="D5" i="6"/>
  <c r="F5" i="6"/>
  <c r="E5" i="5"/>
  <c r="D6" i="6"/>
  <c r="F6" i="6"/>
  <c r="E6" i="5"/>
  <c r="D60" i="6"/>
  <c r="F60" i="6"/>
  <c r="E60" i="5"/>
  <c r="D92" i="6"/>
  <c r="F92" i="6"/>
  <c r="E92" i="5"/>
  <c r="E124" i="6"/>
  <c r="F124" i="6"/>
  <c r="E124" i="5"/>
  <c r="D182" i="6"/>
  <c r="F182" i="6"/>
  <c r="E182" i="5"/>
  <c r="E189" i="6"/>
  <c r="F189" i="6"/>
  <c r="E189" i="5"/>
  <c r="E217" i="6"/>
  <c r="F217" i="6"/>
  <c r="D230" i="6"/>
  <c r="F230" i="6"/>
  <c r="E230" i="5"/>
  <c r="E237" i="6"/>
  <c r="F237" i="6"/>
  <c r="E255" i="6"/>
  <c r="F255" i="6"/>
  <c r="E255" i="5"/>
  <c r="E271" i="6"/>
  <c r="F271" i="6"/>
  <c r="E271" i="5"/>
  <c r="E281" i="6"/>
  <c r="F281" i="6"/>
  <c r="E281" i="5"/>
  <c r="D290" i="6"/>
  <c r="F290" i="6"/>
  <c r="E290" i="5"/>
  <c r="E297" i="6"/>
  <c r="F297" i="6"/>
  <c r="E297" i="5"/>
  <c r="D306" i="6"/>
  <c r="F306" i="6"/>
  <c r="E306" i="5"/>
  <c r="D311" i="6"/>
  <c r="F311" i="6"/>
  <c r="E311" i="5"/>
  <c r="E333" i="6"/>
  <c r="F333" i="6"/>
  <c r="E333" i="5"/>
  <c r="E373" i="6"/>
  <c r="F373" i="6"/>
  <c r="E373" i="5"/>
  <c r="E405" i="6"/>
  <c r="F405" i="6"/>
  <c r="D4" i="6"/>
  <c r="F4" i="6"/>
  <c r="E4" i="5"/>
  <c r="D36" i="6"/>
  <c r="F36" i="6"/>
  <c r="D68" i="6"/>
  <c r="F68" i="6"/>
  <c r="E68" i="5"/>
  <c r="D100" i="6"/>
  <c r="F100" i="6"/>
  <c r="E119" i="6"/>
  <c r="F119" i="6"/>
  <c r="E119" i="5"/>
  <c r="E147" i="6"/>
  <c r="F147" i="6"/>
  <c r="E147" i="5"/>
  <c r="E199" i="6"/>
  <c r="F199" i="6"/>
  <c r="E199" i="5"/>
  <c r="D214" i="6"/>
  <c r="F214" i="6"/>
  <c r="E214" i="5"/>
  <c r="E221" i="6"/>
  <c r="F221" i="6"/>
  <c r="E221" i="5"/>
  <c r="E241" i="6"/>
  <c r="F241" i="6"/>
  <c r="E241" i="5"/>
  <c r="E287" i="6"/>
  <c r="F287" i="6"/>
  <c r="E287" i="5"/>
  <c r="E303" i="6"/>
  <c r="F303" i="6"/>
  <c r="E303" i="5"/>
  <c r="D321" i="6"/>
  <c r="F321" i="6"/>
  <c r="E321" i="5"/>
  <c r="D324" i="6"/>
  <c r="F324" i="6"/>
  <c r="E324" i="5"/>
  <c r="D138" i="6"/>
  <c r="F138" i="6"/>
  <c r="E7" i="6"/>
  <c r="F7" i="6"/>
  <c r="E7" i="5"/>
  <c r="D12" i="6"/>
  <c r="F12" i="6"/>
  <c r="E12" i="5"/>
  <c r="D22" i="6"/>
  <c r="F22" i="6"/>
  <c r="D23" i="6"/>
  <c r="F23" i="6"/>
  <c r="E23" i="5"/>
  <c r="D26" i="6"/>
  <c r="F26" i="6"/>
  <c r="D32" i="6"/>
  <c r="F32" i="6"/>
  <c r="E32" i="5"/>
  <c r="D40" i="6"/>
  <c r="F40" i="6"/>
  <c r="E40" i="5"/>
  <c r="D48" i="6"/>
  <c r="F48" i="6"/>
  <c r="E48" i="5"/>
  <c r="D56" i="6"/>
  <c r="F56" i="6"/>
  <c r="E56" i="5"/>
  <c r="D64" i="6"/>
  <c r="F64" i="6"/>
  <c r="E64" i="5"/>
  <c r="D72" i="6"/>
  <c r="F72" i="6"/>
  <c r="E72" i="5"/>
  <c r="D80" i="6"/>
  <c r="F80" i="6"/>
  <c r="E80" i="5"/>
  <c r="D88" i="6"/>
  <c r="F88" i="6"/>
  <c r="D96" i="6"/>
  <c r="F96" i="6"/>
  <c r="E96" i="5"/>
  <c r="D104" i="6"/>
  <c r="F104" i="6"/>
  <c r="E104" i="5"/>
  <c r="E151" i="6"/>
  <c r="F151" i="6"/>
  <c r="E151" i="5"/>
  <c r="D154" i="6"/>
  <c r="F154" i="6"/>
  <c r="E163" i="6"/>
  <c r="F163" i="6"/>
  <c r="E163" i="5"/>
  <c r="D170" i="6"/>
  <c r="F170" i="6"/>
  <c r="E259" i="6"/>
  <c r="F259" i="6"/>
  <c r="E259" i="5"/>
  <c r="E291" i="6"/>
  <c r="F291" i="6"/>
  <c r="E291" i="5"/>
  <c r="E327" i="6"/>
  <c r="F327" i="6"/>
  <c r="E327" i="5"/>
  <c r="D343" i="6"/>
  <c r="F343" i="6"/>
  <c r="E343" i="5"/>
  <c r="E363" i="6"/>
  <c r="F363" i="6"/>
  <c r="E363" i="5"/>
  <c r="E371" i="6"/>
  <c r="F371" i="6"/>
  <c r="E371" i="5"/>
  <c r="E379" i="6"/>
  <c r="F379" i="6"/>
  <c r="E379" i="5"/>
  <c r="E387" i="6"/>
  <c r="F387" i="6"/>
  <c r="E387" i="5"/>
  <c r="E395" i="6"/>
  <c r="F395" i="6"/>
  <c r="E395" i="5"/>
  <c r="E403" i="6"/>
  <c r="F403" i="6"/>
  <c r="E403" i="5"/>
  <c r="E411" i="6"/>
  <c r="F411" i="6"/>
  <c r="E411" i="5"/>
  <c r="E34" i="6"/>
  <c r="F34" i="6"/>
  <c r="E34" i="5"/>
  <c r="E42" i="6"/>
  <c r="F42" i="6"/>
  <c r="E50" i="6"/>
  <c r="F50" i="6"/>
  <c r="E50" i="5"/>
  <c r="E58" i="6"/>
  <c r="F58" i="6"/>
  <c r="E58" i="5"/>
  <c r="E66" i="6"/>
  <c r="F66" i="6"/>
  <c r="E66" i="5"/>
  <c r="E74" i="6"/>
  <c r="F74" i="6"/>
  <c r="E82" i="6"/>
  <c r="F82" i="6"/>
  <c r="E82" i="5"/>
  <c r="E90" i="6"/>
  <c r="F90" i="6"/>
  <c r="E90" i="5"/>
  <c r="E98" i="6"/>
  <c r="F98" i="6"/>
  <c r="E98" i="5"/>
  <c r="E106" i="6"/>
  <c r="F106" i="6"/>
  <c r="D122" i="6"/>
  <c r="F122" i="6"/>
  <c r="E141" i="6"/>
  <c r="F141" i="6"/>
  <c r="E141" i="5"/>
  <c r="D150" i="6"/>
  <c r="F150" i="6"/>
  <c r="E153" i="6"/>
  <c r="F153" i="6"/>
  <c r="E153" i="5"/>
  <c r="E167" i="6"/>
  <c r="F167" i="6"/>
  <c r="E167" i="5"/>
  <c r="E183" i="6"/>
  <c r="F183" i="6"/>
  <c r="E183" i="5"/>
  <c r="D186" i="6"/>
  <c r="F186" i="6"/>
  <c r="E186" i="5"/>
  <c r="E195" i="6"/>
  <c r="F195" i="6"/>
  <c r="E195" i="5"/>
  <c r="D202" i="6"/>
  <c r="F202" i="6"/>
  <c r="E202" i="5"/>
  <c r="E211" i="6"/>
  <c r="F211" i="6"/>
  <c r="E211" i="5"/>
  <c r="E231" i="6"/>
  <c r="D234" i="6"/>
  <c r="F234" i="6"/>
  <c r="E234" i="5"/>
  <c r="D244" i="6"/>
  <c r="F244" i="6"/>
  <c r="D257" i="6"/>
  <c r="F257" i="6"/>
  <c r="E257" i="5"/>
  <c r="D269" i="6"/>
  <c r="F269" i="6"/>
  <c r="E269" i="5"/>
  <c r="D276" i="6"/>
  <c r="F276" i="6"/>
  <c r="E276" i="5"/>
  <c r="D279" i="6"/>
  <c r="F279" i="6"/>
  <c r="E279" i="5"/>
  <c r="D289" i="6"/>
  <c r="F289" i="6"/>
  <c r="E289" i="5"/>
  <c r="D301" i="6"/>
  <c r="F301" i="6"/>
  <c r="D308" i="6"/>
  <c r="F308" i="6"/>
  <c r="D317" i="6"/>
  <c r="F317" i="6"/>
  <c r="E317" i="5"/>
  <c r="D322" i="6"/>
  <c r="F322" i="6"/>
  <c r="E322" i="5"/>
  <c r="D340" i="6"/>
  <c r="F340" i="6"/>
  <c r="E340" i="5"/>
  <c r="D3" i="6"/>
  <c r="F3" i="6"/>
  <c r="E18" i="6"/>
  <c r="F18" i="6"/>
  <c r="E18" i="5"/>
  <c r="E24" i="6"/>
  <c r="F24" i="6"/>
  <c r="E24" i="5"/>
  <c r="D27" i="6"/>
  <c r="F27" i="6"/>
  <c r="E27" i="5"/>
  <c r="E38" i="6"/>
  <c r="F38" i="6"/>
  <c r="E38" i="5"/>
  <c r="E46" i="6"/>
  <c r="F46" i="6"/>
  <c r="E46" i="5"/>
  <c r="E54" i="6"/>
  <c r="F54" i="6"/>
  <c r="E54" i="5"/>
  <c r="E62" i="6"/>
  <c r="F62" i="6"/>
  <c r="E62" i="5"/>
  <c r="E70" i="6"/>
  <c r="F70" i="6"/>
  <c r="E70" i="5"/>
  <c r="E78" i="6"/>
  <c r="F78" i="6"/>
  <c r="E78" i="5"/>
  <c r="E86" i="6"/>
  <c r="F86" i="6"/>
  <c r="E86" i="5"/>
  <c r="E94" i="6"/>
  <c r="F94" i="6"/>
  <c r="E94" i="5"/>
  <c r="E102" i="6"/>
  <c r="F102" i="6"/>
  <c r="E102" i="5"/>
  <c r="D114" i="6"/>
  <c r="F114" i="6"/>
  <c r="E114" i="5"/>
  <c r="E134" i="6"/>
  <c r="F134" i="6"/>
  <c r="E134" i="5"/>
  <c r="E137" i="6"/>
  <c r="F137" i="6"/>
  <c r="E157" i="6"/>
  <c r="F157" i="6"/>
  <c r="E157" i="5"/>
  <c r="E173" i="6"/>
  <c r="F173" i="6"/>
  <c r="E173" i="5"/>
  <c r="E215" i="6"/>
  <c r="F215" i="6"/>
  <c r="E215" i="5"/>
  <c r="D218" i="6"/>
  <c r="F218" i="6"/>
  <c r="E218" i="5"/>
  <c r="E227" i="6"/>
  <c r="F227" i="6"/>
  <c r="E227" i="5"/>
  <c r="D240" i="6"/>
  <c r="F240" i="6"/>
  <c r="E240" i="5"/>
  <c r="D248" i="6"/>
  <c r="F248" i="6"/>
  <c r="E248" i="5"/>
  <c r="D253" i="6"/>
  <c r="F253" i="6"/>
  <c r="E253" i="5"/>
  <c r="D260" i="6"/>
  <c r="F260" i="6"/>
  <c r="E260" i="5"/>
  <c r="D263" i="6"/>
  <c r="F263" i="6"/>
  <c r="E263" i="5"/>
  <c r="D273" i="6"/>
  <c r="F273" i="6"/>
  <c r="E273" i="5"/>
  <c r="D285" i="6"/>
  <c r="F285" i="6"/>
  <c r="E285" i="5"/>
  <c r="D292" i="6"/>
  <c r="F292" i="6"/>
  <c r="E292" i="5"/>
  <c r="D295" i="6"/>
  <c r="F295" i="6"/>
  <c r="E295" i="5"/>
  <c r="D305" i="6"/>
  <c r="F305" i="6"/>
  <c r="E305" i="5"/>
  <c r="D337" i="6"/>
  <c r="F337" i="6"/>
  <c r="E337" i="5"/>
  <c r="D364" i="6"/>
  <c r="F364" i="6"/>
  <c r="E364" i="5"/>
  <c r="D372" i="6"/>
  <c r="F372" i="6"/>
  <c r="E372" i="5"/>
  <c r="D380" i="6"/>
  <c r="F380" i="6"/>
  <c r="E380" i="5"/>
  <c r="D388" i="6"/>
  <c r="F388" i="6"/>
  <c r="E388" i="5"/>
  <c r="D396" i="6"/>
  <c r="F396" i="6"/>
  <c r="E396" i="5"/>
  <c r="D404" i="6"/>
  <c r="F404" i="6"/>
  <c r="E404" i="5"/>
  <c r="D412" i="6"/>
  <c r="F412" i="6"/>
  <c r="E412" i="5"/>
  <c r="E226" i="6"/>
  <c r="D226" i="6"/>
  <c r="F226" i="6"/>
  <c r="E226" i="5"/>
  <c r="E252" i="6"/>
  <c r="D252" i="6"/>
  <c r="E315" i="6"/>
  <c r="D315" i="6"/>
  <c r="F315" i="6"/>
  <c r="E331" i="6"/>
  <c r="D331" i="6"/>
  <c r="E378" i="6"/>
  <c r="D378" i="6"/>
  <c r="F378" i="6"/>
  <c r="E378" i="5"/>
  <c r="E386" i="6"/>
  <c r="D386" i="6"/>
  <c r="E410" i="6"/>
  <c r="D410" i="6"/>
  <c r="F410" i="6"/>
  <c r="E410" i="5"/>
  <c r="D2" i="6"/>
  <c r="F2" i="6"/>
  <c r="D9" i="6"/>
  <c r="F9" i="6"/>
  <c r="E9" i="5"/>
  <c r="D10" i="6"/>
  <c r="F10" i="6"/>
  <c r="D14" i="6"/>
  <c r="F14" i="6"/>
  <c r="E14" i="5"/>
  <c r="D15" i="6"/>
  <c r="F15" i="6"/>
  <c r="E15" i="5"/>
  <c r="D20" i="6"/>
  <c r="F20" i="6"/>
  <c r="E20" i="5"/>
  <c r="D30" i="6"/>
  <c r="F30" i="6"/>
  <c r="E30" i="5"/>
  <c r="D31" i="6"/>
  <c r="F31" i="6"/>
  <c r="E31" i="5"/>
  <c r="E111" i="6"/>
  <c r="F111" i="6"/>
  <c r="E111" i="5"/>
  <c r="D113" i="6"/>
  <c r="E113" i="6"/>
  <c r="E116" i="6"/>
  <c r="F116" i="6"/>
  <c r="D130" i="6"/>
  <c r="F130" i="6"/>
  <c r="E130" i="5"/>
  <c r="D146" i="6"/>
  <c r="F146" i="6"/>
  <c r="E146" i="5"/>
  <c r="E149" i="6"/>
  <c r="F149" i="6"/>
  <c r="E149" i="5"/>
  <c r="E179" i="6"/>
  <c r="F179" i="6"/>
  <c r="E179" i="5"/>
  <c r="D181" i="6"/>
  <c r="E181" i="6"/>
  <c r="D213" i="6"/>
  <c r="E213" i="6"/>
  <c r="E347" i="6"/>
  <c r="D347" i="6"/>
  <c r="E357" i="6"/>
  <c r="D357" i="6"/>
  <c r="F357" i="6"/>
  <c r="E357" i="5"/>
  <c r="D139" i="6"/>
  <c r="E139" i="6"/>
  <c r="E162" i="6"/>
  <c r="D162" i="6"/>
  <c r="F162" i="6"/>
  <c r="E162" i="5"/>
  <c r="D175" i="6"/>
  <c r="E175" i="6"/>
  <c r="E194" i="6"/>
  <c r="D194" i="6"/>
  <c r="F194" i="6"/>
  <c r="E194" i="5"/>
  <c r="D207" i="6"/>
  <c r="E207" i="6"/>
  <c r="D239" i="6"/>
  <c r="E239" i="6"/>
  <c r="D247" i="6"/>
  <c r="E247" i="6"/>
  <c r="E267" i="6"/>
  <c r="D267" i="6"/>
  <c r="F267" i="6"/>
  <c r="E267" i="5"/>
  <c r="E284" i="6"/>
  <c r="D284" i="6"/>
  <c r="E299" i="6"/>
  <c r="D299" i="6"/>
  <c r="F299" i="6"/>
  <c r="E299" i="5"/>
  <c r="E362" i="6"/>
  <c r="D362" i="6"/>
  <c r="E370" i="6"/>
  <c r="D370" i="6"/>
  <c r="F370" i="6"/>
  <c r="E370" i="5"/>
  <c r="E394" i="6"/>
  <c r="D394" i="6"/>
  <c r="E402" i="6"/>
  <c r="D402" i="6"/>
  <c r="F402" i="6"/>
  <c r="E402" i="5"/>
  <c r="D8" i="6"/>
  <c r="F8" i="6"/>
  <c r="D19" i="6"/>
  <c r="F19" i="6"/>
  <c r="E19" i="5"/>
  <c r="E110" i="6"/>
  <c r="F110" i="6"/>
  <c r="E110" i="5"/>
  <c r="E118" i="6"/>
  <c r="F118" i="6"/>
  <c r="E118" i="5"/>
  <c r="E121" i="6"/>
  <c r="F121" i="6"/>
  <c r="E121" i="5"/>
  <c r="E127" i="6"/>
  <c r="F127" i="6"/>
  <c r="E127" i="5"/>
  <c r="D129" i="6"/>
  <c r="E129" i="6"/>
  <c r="E132" i="6"/>
  <c r="F132" i="6"/>
  <c r="E132" i="5"/>
  <c r="E143" i="6"/>
  <c r="F143" i="6"/>
  <c r="E143" i="5"/>
  <c r="D145" i="6"/>
  <c r="E145" i="6"/>
  <c r="D159" i="6"/>
  <c r="E159" i="6"/>
  <c r="D166" i="6"/>
  <c r="F166" i="6"/>
  <c r="E166" i="5"/>
  <c r="E169" i="6"/>
  <c r="F169" i="6"/>
  <c r="E169" i="5"/>
  <c r="E178" i="6"/>
  <c r="D178" i="6"/>
  <c r="D191" i="6"/>
  <c r="E191" i="6"/>
  <c r="D198" i="6"/>
  <c r="F198" i="6"/>
  <c r="E198" i="5"/>
  <c r="E201" i="6"/>
  <c r="F201" i="6"/>
  <c r="E201" i="5"/>
  <c r="E210" i="6"/>
  <c r="D210" i="6"/>
  <c r="F210" i="6"/>
  <c r="E210" i="5"/>
  <c r="D223" i="6"/>
  <c r="E223" i="6"/>
  <c r="D243" i="6"/>
  <c r="E243" i="6"/>
  <c r="E251" i="6"/>
  <c r="D251" i="6"/>
  <c r="E268" i="6"/>
  <c r="D268" i="6"/>
  <c r="F268" i="6"/>
  <c r="E268" i="5"/>
  <c r="E283" i="6"/>
  <c r="D283" i="6"/>
  <c r="E300" i="6"/>
  <c r="D300" i="6"/>
  <c r="F300" i="6"/>
  <c r="E300" i="5"/>
  <c r="E316" i="6"/>
  <c r="D316" i="6"/>
  <c r="E332" i="6"/>
  <c r="D332" i="6"/>
  <c r="F332" i="6"/>
  <c r="E332" i="5"/>
  <c r="E361" i="6"/>
  <c r="D361" i="6"/>
  <c r="E369" i="6"/>
  <c r="D369" i="6"/>
  <c r="F369" i="6"/>
  <c r="E369" i="5"/>
  <c r="E377" i="6"/>
  <c r="D377" i="6"/>
  <c r="E385" i="6"/>
  <c r="D385" i="6"/>
  <c r="F385" i="6"/>
  <c r="E385" i="5"/>
  <c r="E393" i="6"/>
  <c r="D393" i="6"/>
  <c r="E401" i="6"/>
  <c r="D401" i="6"/>
  <c r="F401" i="6"/>
  <c r="E401" i="5"/>
  <c r="E409" i="6"/>
  <c r="D409" i="6"/>
  <c r="E419" i="6"/>
  <c r="D419" i="6"/>
  <c r="F419" i="6"/>
  <c r="E419" i="5"/>
  <c r="D126" i="6"/>
  <c r="E126" i="6"/>
  <c r="E142" i="6"/>
  <c r="D142" i="6"/>
  <c r="F142" i="6"/>
  <c r="E142" i="5"/>
  <c r="D165" i="6"/>
  <c r="E165" i="6"/>
  <c r="D197" i="6"/>
  <c r="E197" i="6"/>
  <c r="D229" i="6"/>
  <c r="E229" i="6"/>
  <c r="E348" i="6"/>
  <c r="D348" i="6"/>
  <c r="F348" i="6"/>
  <c r="E155" i="6"/>
  <c r="F155" i="6"/>
  <c r="E155" i="5"/>
  <c r="D158" i="6"/>
  <c r="F158" i="6"/>
  <c r="E158" i="5"/>
  <c r="E161" i="6"/>
  <c r="F161" i="6"/>
  <c r="E161" i="5"/>
  <c r="E171" i="6"/>
  <c r="F171" i="6"/>
  <c r="E171" i="5"/>
  <c r="D174" i="6"/>
  <c r="F174" i="6"/>
  <c r="E174" i="5"/>
  <c r="E177" i="6"/>
  <c r="F177" i="6"/>
  <c r="E177" i="5"/>
  <c r="E187" i="6"/>
  <c r="F187" i="6"/>
  <c r="E187" i="5"/>
  <c r="D190" i="6"/>
  <c r="F190" i="6"/>
  <c r="E193" i="6"/>
  <c r="F193" i="6"/>
  <c r="E193" i="5"/>
  <c r="E203" i="6"/>
  <c r="F203" i="6"/>
  <c r="E203" i="5"/>
  <c r="D206" i="6"/>
  <c r="F206" i="6"/>
  <c r="E206" i="5"/>
  <c r="E209" i="6"/>
  <c r="F209" i="6"/>
  <c r="E209" i="5"/>
  <c r="E219" i="6"/>
  <c r="F219" i="6"/>
  <c r="E219" i="5"/>
  <c r="D222" i="6"/>
  <c r="F222" i="6"/>
  <c r="E222" i="5"/>
  <c r="E225" i="6"/>
  <c r="F225" i="6"/>
  <c r="E225" i="5"/>
  <c r="E235" i="6"/>
  <c r="F235" i="6"/>
  <c r="E235" i="5"/>
  <c r="D238" i="6"/>
  <c r="F238" i="6"/>
  <c r="E238" i="5"/>
  <c r="D242" i="6"/>
  <c r="F242" i="6"/>
  <c r="E242" i="5"/>
  <c r="D246" i="6"/>
  <c r="F246" i="6"/>
  <c r="E246" i="5"/>
  <c r="D250" i="6"/>
  <c r="F250" i="6"/>
  <c r="E250" i="5"/>
  <c r="D266" i="6"/>
  <c r="F266" i="6"/>
  <c r="E266" i="5"/>
  <c r="D282" i="6"/>
  <c r="F282" i="6"/>
  <c r="E282" i="5"/>
  <c r="D298" i="6"/>
  <c r="F298" i="6"/>
  <c r="E298" i="5"/>
  <c r="D309" i="6"/>
  <c r="F309" i="6"/>
  <c r="E309" i="5"/>
  <c r="D313" i="6"/>
  <c r="F313" i="6"/>
  <c r="E313" i="5"/>
  <c r="D314" i="6"/>
  <c r="F314" i="6"/>
  <c r="E314" i="5"/>
  <c r="D319" i="6"/>
  <c r="F319" i="6"/>
  <c r="E319" i="5"/>
  <c r="D325" i="6"/>
  <c r="F325" i="6"/>
  <c r="E325" i="5"/>
  <c r="D329" i="6"/>
  <c r="F329" i="6"/>
  <c r="D330" i="6"/>
  <c r="F330" i="6"/>
  <c r="E330" i="5"/>
  <c r="D335" i="6"/>
  <c r="F335" i="6"/>
  <c r="E335" i="5"/>
  <c r="D341" i="6"/>
  <c r="F341" i="6"/>
  <c r="E341" i="5"/>
  <c r="D345" i="6"/>
  <c r="F345" i="6"/>
  <c r="E345" i="5"/>
  <c r="D346" i="6"/>
  <c r="F346" i="6"/>
  <c r="E346" i="5"/>
  <c r="D351" i="6"/>
  <c r="F351" i="6"/>
  <c r="E351" i="5"/>
  <c r="D355" i="6"/>
  <c r="F355" i="6"/>
  <c r="E355" i="5"/>
  <c r="D356" i="6"/>
  <c r="F356" i="6"/>
  <c r="E356" i="5"/>
  <c r="D367" i="6"/>
  <c r="F367" i="6"/>
  <c r="E367" i="5"/>
  <c r="D368" i="6"/>
  <c r="F368" i="6"/>
  <c r="E368" i="5"/>
  <c r="D375" i="6"/>
  <c r="F375" i="6"/>
  <c r="E375" i="5"/>
  <c r="D376" i="6"/>
  <c r="F376" i="6"/>
  <c r="E376" i="5"/>
  <c r="D383" i="6"/>
  <c r="F383" i="6"/>
  <c r="E383" i="5"/>
  <c r="D384" i="6"/>
  <c r="F384" i="6"/>
  <c r="E384" i="5"/>
  <c r="D391" i="6"/>
  <c r="F391" i="6"/>
  <c r="E391" i="5"/>
  <c r="D392" i="6"/>
  <c r="F392" i="6"/>
  <c r="E392" i="5"/>
  <c r="D399" i="6"/>
  <c r="F399" i="6"/>
  <c r="E399" i="5"/>
  <c r="D400" i="6"/>
  <c r="F400" i="6"/>
  <c r="D407" i="6"/>
  <c r="F407" i="6"/>
  <c r="E407" i="5"/>
  <c r="D408" i="6"/>
  <c r="F408" i="6"/>
  <c r="E408" i="5"/>
  <c r="D415" i="6"/>
  <c r="F415" i="6"/>
  <c r="E415" i="5"/>
  <c r="D416" i="6"/>
  <c r="F416" i="6"/>
  <c r="E416" i="5"/>
  <c r="D366" i="6"/>
  <c r="F366" i="6"/>
  <c r="E366" i="5"/>
  <c r="D374" i="6"/>
  <c r="F374" i="6"/>
  <c r="E374" i="5"/>
  <c r="D382" i="6"/>
  <c r="F382" i="6"/>
  <c r="E382" i="5"/>
  <c r="D390" i="6"/>
  <c r="F390" i="6"/>
  <c r="E390" i="5"/>
  <c r="D398" i="6"/>
  <c r="F398" i="6"/>
  <c r="E398" i="5"/>
  <c r="D406" i="6"/>
  <c r="F406" i="6"/>
  <c r="E406" i="5"/>
  <c r="D414" i="6"/>
  <c r="F414" i="6"/>
  <c r="E414" i="5"/>
  <c r="E33" i="6"/>
  <c r="D33" i="6"/>
  <c r="E37" i="6"/>
  <c r="D37" i="6"/>
  <c r="E41" i="6"/>
  <c r="D41" i="6"/>
  <c r="E45" i="6"/>
  <c r="D45" i="6"/>
  <c r="E49" i="6"/>
  <c r="D49" i="6"/>
  <c r="E53" i="6"/>
  <c r="D53" i="6"/>
  <c r="E57" i="6"/>
  <c r="D57" i="6"/>
  <c r="E61" i="6"/>
  <c r="D61" i="6"/>
  <c r="E65" i="6"/>
  <c r="D65" i="6"/>
  <c r="E69" i="6"/>
  <c r="D69" i="6"/>
  <c r="E73" i="6"/>
  <c r="D73" i="6"/>
  <c r="E77" i="6"/>
  <c r="D77" i="6"/>
  <c r="E81" i="6"/>
  <c r="D81" i="6"/>
  <c r="E85" i="6"/>
  <c r="D85" i="6"/>
  <c r="E89" i="6"/>
  <c r="D89" i="6"/>
  <c r="E93" i="6"/>
  <c r="D93" i="6"/>
  <c r="D17" i="6"/>
  <c r="F17" i="6"/>
  <c r="E17" i="5"/>
  <c r="D25" i="6"/>
  <c r="F25" i="6"/>
  <c r="E25" i="5"/>
  <c r="E35" i="6"/>
  <c r="D35" i="6"/>
  <c r="E39" i="6"/>
  <c r="D39" i="6"/>
  <c r="E43" i="6"/>
  <c r="D43" i="6"/>
  <c r="E47" i="6"/>
  <c r="D47" i="6"/>
  <c r="E51" i="6"/>
  <c r="D51" i="6"/>
  <c r="E55" i="6"/>
  <c r="D55" i="6"/>
  <c r="E59" i="6"/>
  <c r="D59" i="6"/>
  <c r="E63" i="6"/>
  <c r="D63" i="6"/>
  <c r="E67" i="6"/>
  <c r="D67" i="6"/>
  <c r="E71" i="6"/>
  <c r="D71" i="6"/>
  <c r="E75" i="6"/>
  <c r="D75" i="6"/>
  <c r="E79" i="6"/>
  <c r="D79" i="6"/>
  <c r="E83" i="6"/>
  <c r="D83" i="6"/>
  <c r="E87" i="6"/>
  <c r="D87" i="6"/>
  <c r="E91" i="6"/>
  <c r="D91" i="6"/>
  <c r="E95" i="6"/>
  <c r="D95" i="6"/>
  <c r="D13" i="6"/>
  <c r="F13" i="6"/>
  <c r="E13" i="5"/>
  <c r="D21" i="6"/>
  <c r="F21" i="6"/>
  <c r="E21" i="5"/>
  <c r="D29" i="6"/>
  <c r="F29" i="6"/>
  <c r="E29" i="5"/>
  <c r="D97" i="6"/>
  <c r="F97" i="6"/>
  <c r="E97" i="5"/>
  <c r="D99" i="6"/>
  <c r="F99" i="6"/>
  <c r="E99" i="5"/>
  <c r="D101" i="6"/>
  <c r="F101" i="6"/>
  <c r="E101" i="5"/>
  <c r="D103" i="6"/>
  <c r="F103" i="6"/>
  <c r="E103" i="5"/>
  <c r="D105" i="6"/>
  <c r="F105" i="6"/>
  <c r="E105" i="5"/>
  <c r="D107" i="6"/>
  <c r="F107" i="6"/>
  <c r="E107" i="5"/>
  <c r="E109" i="6"/>
  <c r="F109" i="6"/>
  <c r="E109" i="5"/>
  <c r="D112" i="6"/>
  <c r="F112" i="6"/>
  <c r="E112" i="5"/>
  <c r="E117" i="6"/>
  <c r="F117" i="6"/>
  <c r="E117" i="5"/>
  <c r="D120" i="6"/>
  <c r="F120" i="6"/>
  <c r="E120" i="5"/>
  <c r="E125" i="6"/>
  <c r="F125" i="6"/>
  <c r="E125" i="5"/>
  <c r="D128" i="6"/>
  <c r="F128" i="6"/>
  <c r="E133" i="6"/>
  <c r="F133" i="6"/>
  <c r="E133" i="5"/>
  <c r="D136" i="6"/>
  <c r="F136" i="6"/>
  <c r="E136" i="5"/>
  <c r="E115" i="6"/>
  <c r="F115" i="6"/>
  <c r="E115" i="5"/>
  <c r="E123" i="6"/>
  <c r="F123" i="6"/>
  <c r="E123" i="5"/>
  <c r="E131" i="6"/>
  <c r="F131" i="6"/>
  <c r="E131" i="5"/>
  <c r="D140" i="6"/>
  <c r="F140" i="6"/>
  <c r="E140" i="5"/>
  <c r="D144" i="6"/>
  <c r="F144" i="6"/>
  <c r="E144" i="5"/>
  <c r="D148" i="6"/>
  <c r="F148" i="6"/>
  <c r="E148" i="5"/>
  <c r="D152" i="6"/>
  <c r="F152" i="6"/>
  <c r="D156" i="6"/>
  <c r="F156" i="6"/>
  <c r="E156" i="5"/>
  <c r="D160" i="6"/>
  <c r="F160" i="6"/>
  <c r="E160" i="5"/>
  <c r="D164" i="6"/>
  <c r="F164" i="6"/>
  <c r="D168" i="6"/>
  <c r="F168" i="6"/>
  <c r="E168" i="5"/>
  <c r="D172" i="6"/>
  <c r="F172" i="6"/>
  <c r="E172" i="5"/>
  <c r="D176" i="6"/>
  <c r="F176" i="6"/>
  <c r="E176" i="5"/>
  <c r="D180" i="6"/>
  <c r="F180" i="6"/>
  <c r="D184" i="6"/>
  <c r="F184" i="6"/>
  <c r="E184" i="5"/>
  <c r="D188" i="6"/>
  <c r="F188" i="6"/>
  <c r="E188" i="5"/>
  <c r="D192" i="6"/>
  <c r="F192" i="6"/>
  <c r="E192" i="5"/>
  <c r="D196" i="6"/>
  <c r="F196" i="6"/>
  <c r="E196" i="5"/>
  <c r="D200" i="6"/>
  <c r="F200" i="6"/>
  <c r="E200" i="5"/>
  <c r="D204" i="6"/>
  <c r="F204" i="6"/>
  <c r="E204" i="5"/>
  <c r="D208" i="6"/>
  <c r="F208" i="6"/>
  <c r="E208" i="5"/>
  <c r="D212" i="6"/>
  <c r="F212" i="6"/>
  <c r="E212" i="5"/>
  <c r="D216" i="6"/>
  <c r="F216" i="6"/>
  <c r="E216" i="5"/>
  <c r="D220" i="6"/>
  <c r="F220" i="6"/>
  <c r="E220" i="5"/>
  <c r="D224" i="6"/>
  <c r="F224" i="6"/>
  <c r="E224" i="5"/>
  <c r="D228" i="6"/>
  <c r="F228" i="6"/>
  <c r="E228" i="5"/>
  <c r="D232" i="6"/>
  <c r="F232" i="6"/>
  <c r="E232" i="5"/>
  <c r="D236" i="6"/>
  <c r="F236" i="6"/>
  <c r="E236" i="5"/>
  <c r="D354" i="6"/>
  <c r="F354" i="6"/>
  <c r="E354" i="5"/>
  <c r="D256" i="6"/>
  <c r="F256" i="6"/>
  <c r="D264" i="6"/>
  <c r="F264" i="6"/>
  <c r="E264" i="5"/>
  <c r="D272" i="6"/>
  <c r="F272" i="6"/>
  <c r="E272" i="5"/>
  <c r="D280" i="6"/>
  <c r="F280" i="6"/>
  <c r="E280" i="5"/>
  <c r="D288" i="6"/>
  <c r="F288" i="6"/>
  <c r="E288" i="5"/>
  <c r="D296" i="6"/>
  <c r="F296" i="6"/>
  <c r="E296" i="5"/>
  <c r="D304" i="6"/>
  <c r="F304" i="6"/>
  <c r="E304" i="5"/>
  <c r="D312" i="6"/>
  <c r="F312" i="6"/>
  <c r="E312" i="5"/>
  <c r="D320" i="6"/>
  <c r="F320" i="6"/>
  <c r="D328" i="6"/>
  <c r="F328" i="6"/>
  <c r="E328" i="5"/>
  <c r="D336" i="6"/>
  <c r="F336" i="6"/>
  <c r="E336" i="5"/>
  <c r="D344" i="6"/>
  <c r="F344" i="6"/>
  <c r="E344" i="5"/>
  <c r="D352" i="6"/>
  <c r="F352" i="6"/>
  <c r="E352" i="5"/>
  <c r="D360" i="6"/>
  <c r="F360" i="6"/>
  <c r="E360" i="5"/>
  <c r="D254" i="6"/>
  <c r="F254" i="6"/>
  <c r="E254" i="5"/>
  <c r="D262" i="6"/>
  <c r="F262" i="6"/>
  <c r="E262" i="5"/>
  <c r="D270" i="6"/>
  <c r="F270" i="6"/>
  <c r="E270" i="5"/>
  <c r="D278" i="6"/>
  <c r="F278" i="6"/>
  <c r="E278" i="5"/>
  <c r="D286" i="6"/>
  <c r="F286" i="6"/>
  <c r="E286" i="5"/>
  <c r="D294" i="6"/>
  <c r="F294" i="6"/>
  <c r="E294" i="5"/>
  <c r="D302" i="6"/>
  <c r="F302" i="6"/>
  <c r="E302" i="5"/>
  <c r="D310" i="6"/>
  <c r="F310" i="6"/>
  <c r="E310" i="5"/>
  <c r="D318" i="6"/>
  <c r="F318" i="6"/>
  <c r="E318" i="5"/>
  <c r="D326" i="6"/>
  <c r="F326" i="6"/>
  <c r="E326" i="5"/>
  <c r="D334" i="6"/>
  <c r="F334" i="6"/>
  <c r="E334" i="5"/>
  <c r="D342" i="6"/>
  <c r="F342" i="6"/>
  <c r="E342" i="5"/>
  <c r="D350" i="6"/>
  <c r="F350" i="6"/>
  <c r="E350" i="5"/>
  <c r="D358" i="6"/>
  <c r="F358" i="6"/>
  <c r="E358" i="5"/>
  <c r="D418" i="6"/>
  <c r="F418" i="6"/>
  <c r="E418" i="5"/>
  <c r="D417" i="6"/>
  <c r="F417" i="6"/>
  <c r="E417" i="5"/>
  <c r="F229" i="6"/>
  <c r="E229" i="5"/>
  <c r="F165" i="6"/>
  <c r="E165" i="5"/>
  <c r="F126" i="6"/>
  <c r="E126" i="5"/>
  <c r="F223" i="6"/>
  <c r="E223" i="5"/>
  <c r="F159" i="6"/>
  <c r="E159" i="5"/>
  <c r="F247" i="6"/>
  <c r="E247" i="5"/>
  <c r="F207" i="6"/>
  <c r="E207" i="5"/>
  <c r="F175" i="6"/>
  <c r="E175" i="5"/>
  <c r="F139" i="6"/>
  <c r="E139" i="5"/>
  <c r="F181" i="6"/>
  <c r="E181" i="5"/>
  <c r="F95" i="6"/>
  <c r="E95" i="5"/>
  <c r="F87" i="6"/>
  <c r="E87" i="5"/>
  <c r="F79" i="6"/>
  <c r="E79" i="5"/>
  <c r="F71" i="6"/>
  <c r="E71" i="5"/>
  <c r="F63" i="6"/>
  <c r="E63" i="5"/>
  <c r="F55" i="6"/>
  <c r="E55" i="5"/>
  <c r="F47" i="6"/>
  <c r="E47" i="5"/>
  <c r="F39" i="6"/>
  <c r="E39" i="5"/>
  <c r="F89" i="6"/>
  <c r="E89" i="5"/>
  <c r="F81" i="6"/>
  <c r="E81" i="5"/>
  <c r="F73" i="6"/>
  <c r="E73" i="5"/>
  <c r="F65" i="6"/>
  <c r="E65" i="5"/>
  <c r="F57" i="6"/>
  <c r="E57" i="5"/>
  <c r="F49" i="6"/>
  <c r="E49" i="5"/>
  <c r="F41" i="6"/>
  <c r="E41" i="5"/>
  <c r="F33" i="6"/>
  <c r="E33" i="5"/>
  <c r="F91" i="6"/>
  <c r="E91" i="5"/>
  <c r="F83" i="6"/>
  <c r="E83" i="5"/>
  <c r="F75" i="6"/>
  <c r="E75" i="5"/>
  <c r="F67" i="6"/>
  <c r="E67" i="5"/>
  <c r="F59" i="6"/>
  <c r="E59" i="5"/>
  <c r="F51" i="6"/>
  <c r="E51" i="5"/>
  <c r="F43" i="6"/>
  <c r="E43" i="5"/>
  <c r="F35" i="6"/>
  <c r="E35" i="5"/>
  <c r="F93" i="6"/>
  <c r="E93" i="5"/>
  <c r="F85" i="6"/>
  <c r="E85" i="5"/>
  <c r="F77" i="6"/>
  <c r="E77" i="5"/>
  <c r="F69" i="6"/>
  <c r="E69" i="5"/>
  <c r="F61" i="6"/>
  <c r="E61" i="5"/>
  <c r="F53" i="6"/>
  <c r="E53" i="5"/>
  <c r="F45" i="6"/>
  <c r="E45" i="5"/>
  <c r="F37" i="6"/>
  <c r="E37" i="5"/>
  <c r="F409" i="6"/>
  <c r="E409" i="5"/>
  <c r="F393" i="6"/>
  <c r="E393" i="5"/>
  <c r="F377" i="6"/>
  <c r="E377" i="5"/>
  <c r="F361" i="6"/>
  <c r="E361" i="5"/>
  <c r="F316" i="6"/>
  <c r="E316" i="5"/>
  <c r="F283" i="6"/>
  <c r="E283" i="5"/>
  <c r="F251" i="6"/>
  <c r="E251" i="5"/>
  <c r="F178" i="6"/>
  <c r="E178" i="5"/>
  <c r="F394" i="6"/>
  <c r="E394" i="5"/>
  <c r="F362" i="6"/>
  <c r="E362" i="5"/>
  <c r="F284" i="6"/>
  <c r="E284" i="5"/>
  <c r="F347" i="6"/>
  <c r="E347" i="5"/>
  <c r="F113" i="6"/>
  <c r="E113" i="5"/>
  <c r="F386" i="6"/>
  <c r="E386" i="5"/>
  <c r="F331" i="6"/>
  <c r="E331" i="5"/>
  <c r="F252" i="6"/>
  <c r="E252" i="5"/>
  <c r="F197" i="6"/>
  <c r="E197" i="5"/>
  <c r="F243" i="6"/>
  <c r="E243" i="5"/>
  <c r="F191" i="6"/>
  <c r="E191" i="5"/>
  <c r="F145" i="6"/>
  <c r="E145" i="5"/>
  <c r="F129" i="6"/>
  <c r="E129" i="5"/>
  <c r="F239" i="6"/>
  <c r="E239" i="5"/>
  <c r="F213" i="6"/>
  <c r="E213" i="5"/>
  <c r="F424" i="1"/>
</calcChain>
</file>

<file path=xl/sharedStrings.xml><?xml version="1.0" encoding="utf-8"?>
<sst xmlns="http://schemas.openxmlformats.org/spreadsheetml/2006/main" count="2100" uniqueCount="689">
  <si>
    <t>PassengerId</t>
  </si>
  <si>
    <t>Survived</t>
  </si>
  <si>
    <t>Pclass</t>
  </si>
  <si>
    <t>Age</t>
  </si>
  <si>
    <t>SibSp</t>
  </si>
  <si>
    <t>Parch</t>
  </si>
  <si>
    <t>Ticket</t>
  </si>
  <si>
    <t>Fare</t>
  </si>
  <si>
    <t>Cabin</t>
  </si>
  <si>
    <t>Embarked</t>
  </si>
  <si>
    <t>Kelly, Mr. James</t>
  </si>
  <si>
    <t>male</t>
  </si>
  <si>
    <t>Q</t>
  </si>
  <si>
    <t>Wilkes, Mrs. James (Ellen Needs)</t>
  </si>
  <si>
    <t>female</t>
  </si>
  <si>
    <t>S</t>
  </si>
  <si>
    <t>Myles, Mr. Thomas Francis</t>
  </si>
  <si>
    <t>Wirz, Mr. Albert</t>
  </si>
  <si>
    <t>Hirvonen, Mrs. Alexander (Helga E Lindqvist)</t>
  </si>
  <si>
    <t>Svensson, Mr. Johan Cervin</t>
  </si>
  <si>
    <t>Connolly, Miss. Kate</t>
  </si>
  <si>
    <t>Caldwell, Mr. Albert Francis</t>
  </si>
  <si>
    <t>Abrahim, Mrs. Joseph (Sophie Halaut Easu)</t>
  </si>
  <si>
    <t>C</t>
  </si>
  <si>
    <t>Davies, Mr. John Samuel</t>
  </si>
  <si>
    <t>A/4 48871</t>
  </si>
  <si>
    <t>Ilieff, Mr. Ylio</t>
  </si>
  <si>
    <t>Jones, Mr. Charles Cresson</t>
  </si>
  <si>
    <t>Snyder, Mrs. John Pillsbury (Nelle Stevenson)</t>
  </si>
  <si>
    <t>B45</t>
  </si>
  <si>
    <t>Howard, Mr. Benjamin</t>
  </si>
  <si>
    <t>Chaffee, Mrs. Herbert Fuller (Carrie Constance Toogood)</t>
  </si>
  <si>
    <t>W.E.P. 5734</t>
  </si>
  <si>
    <t>E31</t>
  </si>
  <si>
    <t>del Carlo, Mrs. Sebastiano (Argenia Genovesi)</t>
  </si>
  <si>
    <t>SC/PARIS 2167</t>
  </si>
  <si>
    <t>Keane, Mr. Daniel</t>
  </si>
  <si>
    <t>Assaf, Mr. Gerios</t>
  </si>
  <si>
    <t>Ilmakangas, Miss. Ida Livija</t>
  </si>
  <si>
    <t>STON/O2. 3101270</t>
  </si>
  <si>
    <t>Assaf Khalil, Mrs. Mariana (Miriam")"</t>
  </si>
  <si>
    <t>Rothschild, Mr. Martin</t>
  </si>
  <si>
    <t>PC 17603</t>
  </si>
  <si>
    <t>Olsen, Master. Artur Karl</t>
  </si>
  <si>
    <t>C 17368</t>
  </si>
  <si>
    <t>Flegenheim, Mrs. Alfred (Antoinette)</t>
  </si>
  <si>
    <t>PC 17598</t>
  </si>
  <si>
    <t>Williams, Mr. Richard Norris II</t>
  </si>
  <si>
    <t>PC 17597</t>
  </si>
  <si>
    <t>Ryerson, Mrs. Arthur Larned (Emily Maria Borie)</t>
  </si>
  <si>
    <t>PC 17608</t>
  </si>
  <si>
    <t>B57 B59 B63 B66</t>
  </si>
  <si>
    <t>Robins, Mr. Alexander A</t>
  </si>
  <si>
    <t>A/5. 3337</t>
  </si>
  <si>
    <t>Ostby, Miss. Helene Ragnhild</t>
  </si>
  <si>
    <t>B36</t>
  </si>
  <si>
    <t>Daher, Mr. Shedid</t>
  </si>
  <si>
    <t>Brady, Mr. John Bertram</t>
  </si>
  <si>
    <t>A21</t>
  </si>
  <si>
    <t>Samaan, Mr. Elias</t>
  </si>
  <si>
    <t>Louch, Mr. Charles Alexander</t>
  </si>
  <si>
    <t>SC/AH 3085</t>
  </si>
  <si>
    <t>Jefferys, Mr. Clifford Thomas</t>
  </si>
  <si>
    <t>C.A. 31029</t>
  </si>
  <si>
    <t>Dean, Mrs. Bertram (Eva Georgetta Light)</t>
  </si>
  <si>
    <t>C.A. 2315</t>
  </si>
  <si>
    <t>Johnston, Mrs. Andrew G (Elizabeth Lily" Watson)"</t>
  </si>
  <si>
    <t>W./C. 6607</t>
  </si>
  <si>
    <t>Mock, Mr. Philipp Edmund</t>
  </si>
  <si>
    <t>C78</t>
  </si>
  <si>
    <t>Katavelas, Mr. Vassilios (Catavelas Vassilios")"</t>
  </si>
  <si>
    <t>Roth, Miss. Sarah A</t>
  </si>
  <si>
    <t>Cacic, Miss. Manda</t>
  </si>
  <si>
    <t>Sap, Mr. Julius</t>
  </si>
  <si>
    <t>Hee, Mr. Ling</t>
  </si>
  <si>
    <t>Karun, Mr. Franz</t>
  </si>
  <si>
    <t>Franklin, Mr. Thomas Parham</t>
  </si>
  <si>
    <t>D34</t>
  </si>
  <si>
    <t>Goldsmith, Mr. Nathan</t>
  </si>
  <si>
    <t>SOTON/O.Q. 3101263</t>
  </si>
  <si>
    <t>Corbett, Mrs. Walter H (Irene Colvin)</t>
  </si>
  <si>
    <t>Kimball, Mrs. Edwin Nelson Jr (Gertrude Parsons)</t>
  </si>
  <si>
    <t>D19</t>
  </si>
  <si>
    <t>Peltomaki, Mr. Nikolai Johannes</t>
  </si>
  <si>
    <t>STON/O 2. 3101291</t>
  </si>
  <si>
    <t>Chevre, Mr. Paul Romaine</t>
  </si>
  <si>
    <t>PC 17594</t>
  </si>
  <si>
    <t>A9</t>
  </si>
  <si>
    <t>Shaughnessy, Mr. Patrick</t>
  </si>
  <si>
    <t>Bucknell, Mrs. William Robert (Emma Eliza Ward)</t>
  </si>
  <si>
    <t>D15</t>
  </si>
  <si>
    <t>Coutts, Mrs. William (Winnie Minnie" Treanor)"</t>
  </si>
  <si>
    <t>C.A. 37671</t>
  </si>
  <si>
    <t>Smith, Mr. Lucien Philip</t>
  </si>
  <si>
    <t>C31</t>
  </si>
  <si>
    <t>Pulbaum, Mr. Franz</t>
  </si>
  <si>
    <t>SC/PARIS 2168</t>
  </si>
  <si>
    <t>Hocking, Miss. Ellen Nellie""</t>
  </si>
  <si>
    <t>Fortune, Miss. Ethel Flora</t>
  </si>
  <si>
    <t>C23 C25 C27</t>
  </si>
  <si>
    <t>Mangiavacchi, Mr. Serafino Emilio</t>
  </si>
  <si>
    <t>SC/A.3 2861</t>
  </si>
  <si>
    <t>Rice, Master. Albert</t>
  </si>
  <si>
    <t>Cor, Mr. Bartol</t>
  </si>
  <si>
    <t>Abelseth, Mr. Olaus Jorgensen</t>
  </si>
  <si>
    <t>F G63</t>
  </si>
  <si>
    <t>Davison, Mr. Thomas Henry</t>
  </si>
  <si>
    <t>Chaudanson, Miss. Victorine</t>
  </si>
  <si>
    <t>B61</t>
  </si>
  <si>
    <t>Dika, Mr. Mirko</t>
  </si>
  <si>
    <t>McCrae, Mr. Arthur Gordon</t>
  </si>
  <si>
    <t>Bjorklund, Mr. Ernst Herbert</t>
  </si>
  <si>
    <t>Bradley, Miss. Bridget Delia</t>
  </si>
  <si>
    <t>Ryerson, Master. John Borie</t>
  </si>
  <si>
    <t>Corey, Mrs. Percy C (Mary Phyllis Elizabeth Miller)</t>
  </si>
  <si>
    <t>F.C.C. 13534</t>
  </si>
  <si>
    <t>Burns, Miss. Mary Delia</t>
  </si>
  <si>
    <t>Moore, Mr. Clarence Bloomfield</t>
  </si>
  <si>
    <t>Tucker, Mr. Gilbert Milligan Jr</t>
  </si>
  <si>
    <t>C53</t>
  </si>
  <si>
    <t>Fortune, Mrs. Mark (Mary McDougald)</t>
  </si>
  <si>
    <t>Mulvihill, Miss. Bertha E</t>
  </si>
  <si>
    <t>Minkoff, Mr. Lazar</t>
  </si>
  <si>
    <t>Nieminen, Miss. Manta Josefina</t>
  </si>
  <si>
    <t>Ovies y Rodriguez, Mr. Servando</t>
  </si>
  <si>
    <t>PC 17562</t>
  </si>
  <si>
    <t>D43</t>
  </si>
  <si>
    <t>Geiger, Miss. Amalie</t>
  </si>
  <si>
    <t>C130</t>
  </si>
  <si>
    <t>Keeping, Mr. Edwin</t>
  </si>
  <si>
    <t>C132</t>
  </si>
  <si>
    <t>Miles, Mr. Frank</t>
  </si>
  <si>
    <t>Cornell, Mrs. Robert Clifford (Malvina Helen Lamson)</t>
  </si>
  <si>
    <t>C101</t>
  </si>
  <si>
    <t>Aldworth, Mr. Charles Augustus</t>
  </si>
  <si>
    <t>Doyle, Miss. Elizabeth</t>
  </si>
  <si>
    <t>Boulos, Master. Akar</t>
  </si>
  <si>
    <t>Straus, Mr. Isidor</t>
  </si>
  <si>
    <t>PC 17483</t>
  </si>
  <si>
    <t>C55 C57</t>
  </si>
  <si>
    <t>Case, Mr. Howard Brown</t>
  </si>
  <si>
    <t>Demetri, Mr. Marinko</t>
  </si>
  <si>
    <t>Lamb, Mr. John Joseph</t>
  </si>
  <si>
    <t>Khalil, Mr. Betros</t>
  </si>
  <si>
    <t>Barry, Miss. Julia</t>
  </si>
  <si>
    <t>Badman, Miss. Emily Louisa</t>
  </si>
  <si>
    <t>A/4 31416</t>
  </si>
  <si>
    <t>O'Donoghue, Ms. Bridget</t>
  </si>
  <si>
    <t>Wells, Master. Ralph Lester</t>
  </si>
  <si>
    <t>Dyker, Mrs. Adolf Fredrik (Anna Elisabeth Judith Andersson)</t>
  </si>
  <si>
    <t>Pedersen, Mr. Olaf</t>
  </si>
  <si>
    <t>Davidson, Mrs. Thornton (Orian Hays)</t>
  </si>
  <si>
    <t>F.C. 12750</t>
  </si>
  <si>
    <t>B71</t>
  </si>
  <si>
    <t>Guest, Mr. Robert</t>
  </si>
  <si>
    <t>Birnbaum, Mr. Jakob</t>
  </si>
  <si>
    <t>Tenglin, Mr. Gunnar Isidor</t>
  </si>
  <si>
    <t>Cavendish, Mrs. Tyrell William (Julia Florence Siegel)</t>
  </si>
  <si>
    <t>C46</t>
  </si>
  <si>
    <t>Makinen, Mr. Kalle Edvard</t>
  </si>
  <si>
    <t>STON/O 2. 3101268</t>
  </si>
  <si>
    <t>Braf, Miss. Elin Ester Maria</t>
  </si>
  <si>
    <t>Nancarrow, Mr. William Henry</t>
  </si>
  <si>
    <t>A./5. 3338</t>
  </si>
  <si>
    <t>Stengel, Mrs. Charles Emil Henry (Annie May Morris)</t>
  </si>
  <si>
    <t>C116</t>
  </si>
  <si>
    <t>Weisz, Mr. Leopold</t>
  </si>
  <si>
    <t>Foley, Mr. William</t>
  </si>
  <si>
    <t>Johansson Palmquist, Mr. Oskar Leander</t>
  </si>
  <si>
    <t>Thomas, Mrs. Alexander (Thamine Thelma")"</t>
  </si>
  <si>
    <t>Holthen, Mr. Johan Martin</t>
  </si>
  <si>
    <t>C 4001</t>
  </si>
  <si>
    <t>Buckley, Mr. Daniel</t>
  </si>
  <si>
    <t>Ryan, Mr. Edward</t>
  </si>
  <si>
    <t>Willer, Mr. Aaron (Abi Weller")"</t>
  </si>
  <si>
    <t>Swane, Mr. George</t>
  </si>
  <si>
    <t>F</t>
  </si>
  <si>
    <t>Stanton, Mr. Samuel Ward</t>
  </si>
  <si>
    <t>Shine, Miss. Ellen Natalia</t>
  </si>
  <si>
    <t>Evans, Miss. Edith Corse</t>
  </si>
  <si>
    <t>PC 17531</t>
  </si>
  <si>
    <t>A29</t>
  </si>
  <si>
    <t>Buckley, Miss. Katherine</t>
  </si>
  <si>
    <t>Straus, Mrs. Isidor (Rosalie Ida Blun)</t>
  </si>
  <si>
    <t>Chronopoulos, Mr. Demetrios</t>
  </si>
  <si>
    <t>Thomas, Mr. John</t>
  </si>
  <si>
    <t>Sandstrom, Miss. Beatrice Irene</t>
  </si>
  <si>
    <t>PP 9549</t>
  </si>
  <si>
    <t>G6</t>
  </si>
  <si>
    <t>Beattie, Mr. Thomson</t>
  </si>
  <si>
    <t>C6</t>
  </si>
  <si>
    <t>Chapman, Mrs. John Henry (Sara Elizabeth Lawry)</t>
  </si>
  <si>
    <t>SC/AH 29037</t>
  </si>
  <si>
    <t>Watt, Miss. Bertha J</t>
  </si>
  <si>
    <t>C.A. 33595</t>
  </si>
  <si>
    <t>Kiernan, Mr. John</t>
  </si>
  <si>
    <t>Schabert, Mrs. Paul (Emma Mock)</t>
  </si>
  <si>
    <t>C28</t>
  </si>
  <si>
    <t>Carver, Mr. Alfred John</t>
  </si>
  <si>
    <t>Kennedy, Mr. John</t>
  </si>
  <si>
    <t>Cribb, Miss. Laura Alice</t>
  </si>
  <si>
    <t>Brobeck, Mr. Karl Rudolf</t>
  </si>
  <si>
    <t>McCoy, Miss. Alicia</t>
  </si>
  <si>
    <t>Bowenur, Mr. Solomon</t>
  </si>
  <si>
    <t>Petersen, Mr. Marius</t>
  </si>
  <si>
    <t>Spinner, Mr. Henry John</t>
  </si>
  <si>
    <t>STON/OQ. 369943</t>
  </si>
  <si>
    <t>Gracie, Col. Archibald IV</t>
  </si>
  <si>
    <t>C51</t>
  </si>
  <si>
    <t>Lefebre, Mrs. Frank (Frances)</t>
  </si>
  <si>
    <t>Thomas, Mr. Charles P</t>
  </si>
  <si>
    <t>Dintcheff, Mr. Valtcho</t>
  </si>
  <si>
    <t>Carlsson, Mr. Carl Robert</t>
  </si>
  <si>
    <t>Zakarian, Mr. Mapriededer</t>
  </si>
  <si>
    <t>Schmidt, Mr. August</t>
  </si>
  <si>
    <t>Drapkin, Miss. Jennie</t>
  </si>
  <si>
    <t>SOTON/OQ 392083</t>
  </si>
  <si>
    <t>Goodwin, Mr. Charles Frederick</t>
  </si>
  <si>
    <t>CA 2144</t>
  </si>
  <si>
    <t>Goodwin, Miss. Jessie Allis</t>
  </si>
  <si>
    <t>Daniels, Miss. Sarah</t>
  </si>
  <si>
    <t>Ryerson, Mr. Arthur Larned</t>
  </si>
  <si>
    <t>Beauchamp, Mr. Henry James</t>
  </si>
  <si>
    <t>Lindeberg-Lind, Mr. Erik Gustaf (Mr Edward Lingrey")"</t>
  </si>
  <si>
    <t>Vander Planke, Mr. Julius</t>
  </si>
  <si>
    <t>Hilliard, Mr. Herbert Henry</t>
  </si>
  <si>
    <t>E46</t>
  </si>
  <si>
    <t>Davies, Mr. Evan</t>
  </si>
  <si>
    <t>SC/A4 23568</t>
  </si>
  <si>
    <t>Crafton, Mr. John Bertram</t>
  </si>
  <si>
    <t>Lahtinen, Rev. William</t>
  </si>
  <si>
    <t>Earnshaw, Mrs. Boulton (Olive Potter)</t>
  </si>
  <si>
    <t>C54</t>
  </si>
  <si>
    <t>Matinoff, Mr. Nicola</t>
  </si>
  <si>
    <t>Storey, Mr. Thomas</t>
  </si>
  <si>
    <t>Klasen, Mrs. (Hulda Kristina Eugenia Lofqvist)</t>
  </si>
  <si>
    <t>Asplund, Master. Filip Oscar</t>
  </si>
  <si>
    <t>Duquemin, Mr. Joseph</t>
  </si>
  <si>
    <t>S.O./P.P. 752</t>
  </si>
  <si>
    <t>Bird, Miss. Ellen</t>
  </si>
  <si>
    <t>C97</t>
  </si>
  <si>
    <t>Lundin, Miss. Olga Elida</t>
  </si>
  <si>
    <t>Borebank, Mr. John James</t>
  </si>
  <si>
    <t>D22</t>
  </si>
  <si>
    <t>Peacock, Mrs. Benjamin (Edith Nile)</t>
  </si>
  <si>
    <t>SOTON/O.Q. 3101315</t>
  </si>
  <si>
    <t>Smyth, Miss. Julia</t>
  </si>
  <si>
    <t>Touma, Master. Georges Youssef</t>
  </si>
  <si>
    <t>Wright, Miss. Marion</t>
  </si>
  <si>
    <t>Pearce, Mr. Ernest</t>
  </si>
  <si>
    <t>Peruschitz, Rev. Joseph Maria</t>
  </si>
  <si>
    <t>Kink-Heilmann, Mrs. Anton (Luise Heilmann)</t>
  </si>
  <si>
    <t>Brandeis, Mr. Emil</t>
  </si>
  <si>
    <t>PC 17591</t>
  </si>
  <si>
    <t>B10</t>
  </si>
  <si>
    <t>Ford, Mr. Edward Watson</t>
  </si>
  <si>
    <t>W./C. 6608</t>
  </si>
  <si>
    <t>Cassebeer, Mrs. Henry Arthur Jr (Eleanor Genevieve Fosdick)</t>
  </si>
  <si>
    <t>Hellstrom, Miss. Hilda Maria</t>
  </si>
  <si>
    <t>Lithman, Mr. Simon</t>
  </si>
  <si>
    <t>S.O./P.P. 251</t>
  </si>
  <si>
    <t>Zakarian, Mr. Ortin</t>
  </si>
  <si>
    <t>Dyker, Mr. Adolf Fredrik</t>
  </si>
  <si>
    <t>Torfa, Mr. Assad</t>
  </si>
  <si>
    <t>Asplund, Mr. Carl Oscar Vilhelm Gustafsson</t>
  </si>
  <si>
    <t>Brown, Miss. Edith Eileen</t>
  </si>
  <si>
    <t>Sincock, Miss. Maude</t>
  </si>
  <si>
    <t>C.A. 33112</t>
  </si>
  <si>
    <t>Stengel, Mr. Charles Emil Henry</t>
  </si>
  <si>
    <t>Becker, Mrs. Allen Oliver (Nellie E Baumgardner)</t>
  </si>
  <si>
    <t>F4</t>
  </si>
  <si>
    <t>Compton, Mrs. Alexander Taylor (Mary Eliza Ingersoll)</t>
  </si>
  <si>
    <t>PC 17756</t>
  </si>
  <si>
    <t>E45</t>
  </si>
  <si>
    <t>McCrie, Mr. James Matthew</t>
  </si>
  <si>
    <t>Compton, Mr. Alexander Taylor Jr</t>
  </si>
  <si>
    <t>E52</t>
  </si>
  <si>
    <t>Marvin, Mrs. Daniel Warner (Mary Graham Carmichael Farquarson)</t>
  </si>
  <si>
    <t>D30</t>
  </si>
  <si>
    <t>Lane, Mr. Patrick</t>
  </si>
  <si>
    <t>Douglas, Mrs. Frederick Charles (Mary Helene Baxter)</t>
  </si>
  <si>
    <t>PC 17558</t>
  </si>
  <si>
    <t>B58 B60</t>
  </si>
  <si>
    <t>Maybery, Mr. Frank Hubert</t>
  </si>
  <si>
    <t>Phillips, Miss. Alice Frances Louisa</t>
  </si>
  <si>
    <t>S.O./P.P. 2</t>
  </si>
  <si>
    <t>Davies, Mr. Joseph</t>
  </si>
  <si>
    <t>A/4 48873</t>
  </si>
  <si>
    <t>Sage, Miss. Ada</t>
  </si>
  <si>
    <t>CA. 2343</t>
  </si>
  <si>
    <t>Veal, Mr. James</t>
  </si>
  <si>
    <t>Angle, Mr. William A</t>
  </si>
  <si>
    <t>Salomon, Mr. Abraham L</t>
  </si>
  <si>
    <t>van Billiard, Master. Walter John</t>
  </si>
  <si>
    <t>A/5. 851</t>
  </si>
  <si>
    <t>Lingane, Mr. John</t>
  </si>
  <si>
    <t>Drew, Master. Marshall Brines</t>
  </si>
  <si>
    <t>Karlsson, Mr. Julius Konrad Eugen</t>
  </si>
  <si>
    <t>Spedden, Master. Robert Douglas</t>
  </si>
  <si>
    <t>E34</t>
  </si>
  <si>
    <t>Nilsson, Miss. Berta Olivia</t>
  </si>
  <si>
    <t>Baimbrigge, Mr. Charles Robert</t>
  </si>
  <si>
    <t>C.A. 31030</t>
  </si>
  <si>
    <t>Rasmussen, Mrs. (Lena Jacobsen Solvang)</t>
  </si>
  <si>
    <t>Murphy, Miss. Nora</t>
  </si>
  <si>
    <t>Danbom, Master. Gilbert Sigvard Emanuel</t>
  </si>
  <si>
    <t>Astor, Col. John Jacob</t>
  </si>
  <si>
    <t>PC 17757</t>
  </si>
  <si>
    <t>C62 C64</t>
  </si>
  <si>
    <t>Quick, Miss. Winifred Vera</t>
  </si>
  <si>
    <t>Andrew, Mr. Frank Thomas</t>
  </si>
  <si>
    <t>C.A. 34050</t>
  </si>
  <si>
    <t>Omont, Mr. Alfred Fernand</t>
  </si>
  <si>
    <t>F.C. 12998</t>
  </si>
  <si>
    <t>McGowan, Miss. Katherine</t>
  </si>
  <si>
    <t>Collett, Mr. Sidney C Stuart</t>
  </si>
  <si>
    <t>Rosenbaum, Miss. Edith Louise</t>
  </si>
  <si>
    <t>PC 17613</t>
  </si>
  <si>
    <t>A11</t>
  </si>
  <si>
    <t>Delalic, Mr. Redjo</t>
  </si>
  <si>
    <t>Andersen, Mr. Albert Karvin</t>
  </si>
  <si>
    <t>Finoli, Mr. Luigi</t>
  </si>
  <si>
    <t>SOTON/O.Q. 3101308</t>
  </si>
  <si>
    <t>Deacon, Mr. Percy William</t>
  </si>
  <si>
    <t>S.O.C. 14879</t>
  </si>
  <si>
    <t>Howard, Mrs. Benjamin (Ellen Truelove Arman)</t>
  </si>
  <si>
    <t>Andersson, Miss. Ida Augusta Margareta</t>
  </si>
  <si>
    <t>Head, Mr. Christopher</t>
  </si>
  <si>
    <t>B11</t>
  </si>
  <si>
    <t>Mahon, Miss. Bridget Delia</t>
  </si>
  <si>
    <t>Wick, Mr. George Dennick</t>
  </si>
  <si>
    <t>Widener, Mrs. George Dunton (Eleanor Elkins)</t>
  </si>
  <si>
    <t>C80</t>
  </si>
  <si>
    <t>Thomson, Mr. Alexander Morrison</t>
  </si>
  <si>
    <t>Duran y More, Miss. Florentina</t>
  </si>
  <si>
    <t>SC/PARIS 2148</t>
  </si>
  <si>
    <t>Reynolds, Mr. Harold J</t>
  </si>
  <si>
    <t>Cook, Mrs. (Selena Rogers)</t>
  </si>
  <si>
    <t>W./C. 14266</t>
  </si>
  <si>
    <t>F33</t>
  </si>
  <si>
    <t>Karlsson, Mr. Einar Gervasius</t>
  </si>
  <si>
    <t>Candee, Mrs. Edward (Helen Churchill Hungerford)</t>
  </si>
  <si>
    <t>PC 17606</t>
  </si>
  <si>
    <t>Moubarek, Mrs. George (Omine Amenia" Alexander)"</t>
  </si>
  <si>
    <t>Asplund, Mr. Johan Charles</t>
  </si>
  <si>
    <t>McNeill, Miss. Bridget</t>
  </si>
  <si>
    <t>Everett, Mr. Thomas James</t>
  </si>
  <si>
    <t>C.A. 6212</t>
  </si>
  <si>
    <t>Hocking, Mr. Samuel James Metcalfe</t>
  </si>
  <si>
    <t>Sweet, Mr. George Frederick</t>
  </si>
  <si>
    <t>Willard, Miss. Constance</t>
  </si>
  <si>
    <t>Wiklund, Mr. Karl Johan</t>
  </si>
  <si>
    <t>Linehan, Mr. Michael</t>
  </si>
  <si>
    <t>Cumings, Mr. John Bradley</t>
  </si>
  <si>
    <t>PC 17599</t>
  </si>
  <si>
    <t>C85</t>
  </si>
  <si>
    <t>Vendel, Mr. Olof Edvin</t>
  </si>
  <si>
    <t>Warren, Mr. Frank Manley</t>
  </si>
  <si>
    <t>D37</t>
  </si>
  <si>
    <t>Baccos, Mr. Raffull</t>
  </si>
  <si>
    <t>Hiltunen, Miss. Marta</t>
  </si>
  <si>
    <t>Douglas, Mrs. Walter Donald (Mahala Dutton)</t>
  </si>
  <si>
    <t>PC 17761</t>
  </si>
  <si>
    <t>C86</t>
  </si>
  <si>
    <t>Lindstrom, Mrs. Carl Johan (Sigrid Posse)</t>
  </si>
  <si>
    <t>Christy, Mrs. (Alice Frances)</t>
  </si>
  <si>
    <t>Spedden, Mr. Frederic Oakley</t>
  </si>
  <si>
    <t>Hyman, Mr. Abraham</t>
  </si>
  <si>
    <t>Johnston, Master. William Arthur Willie""</t>
  </si>
  <si>
    <t>Kenyon, Mr. Frederick R</t>
  </si>
  <si>
    <t>D21</t>
  </si>
  <si>
    <t>Karnes, Mrs. J Frank (Claire Bennett)</t>
  </si>
  <si>
    <t>Drew, Mr. James Vivian</t>
  </si>
  <si>
    <t>Hold, Mrs. Stephen (Annie Margaret Hill)</t>
  </si>
  <si>
    <t>Khalil, Mrs. Betros (Zahie Maria" Elias)"</t>
  </si>
  <si>
    <t>West, Miss. Barbara J</t>
  </si>
  <si>
    <t>C.A. 34651</t>
  </si>
  <si>
    <t>Abrahamsson, Mr. Abraham August Johannes</t>
  </si>
  <si>
    <t>SOTON/O2 3101284</t>
  </si>
  <si>
    <t>Clark, Mr. Walter Miller</t>
  </si>
  <si>
    <t>C89</t>
  </si>
  <si>
    <t>Salander, Mr. Karl Johan</t>
  </si>
  <si>
    <t>Wenzel, Mr. Linhart</t>
  </si>
  <si>
    <t>MacKay, Mr. George William</t>
  </si>
  <si>
    <t>C.A. 42795</t>
  </si>
  <si>
    <t>Mahon, Mr. John</t>
  </si>
  <si>
    <t>AQ/4 3130</t>
  </si>
  <si>
    <t>Niklasson, Mr. Samuel</t>
  </si>
  <si>
    <t>Bentham, Miss. Lilian W</t>
  </si>
  <si>
    <t>Midtsjo, Mr. Karl Albert</t>
  </si>
  <si>
    <t>de Messemaeker, Mr. Guillaume Joseph</t>
  </si>
  <si>
    <t>Nilsson, Mr. August Ferdinand</t>
  </si>
  <si>
    <t>Wells, Mrs. Arthur Henry (Addie" Dart Trevaskis)"</t>
  </si>
  <si>
    <t>Klasen, Miss. Gertrud Emilia</t>
  </si>
  <si>
    <t>Portaluppi, Mr. Emilio Ilario Giuseppe</t>
  </si>
  <si>
    <t>C.A. 34644</t>
  </si>
  <si>
    <t>Lyntakoff, Mr. Stanko</t>
  </si>
  <si>
    <t>Chisholm, Mr. Roderick Robert Crispin</t>
  </si>
  <si>
    <t>Warren, Mr. Charles William</t>
  </si>
  <si>
    <t>C.A. 49867</t>
  </si>
  <si>
    <t>Howard, Miss. May Elizabeth</t>
  </si>
  <si>
    <t>A. 2. 39186</t>
  </si>
  <si>
    <t>Pokrnic, Mr. Mate</t>
  </si>
  <si>
    <t>McCaffry, Mr. Thomas Francis</t>
  </si>
  <si>
    <t>Fox, Mr. Patrick</t>
  </si>
  <si>
    <t>Clark, Mrs. Walter Miller (Virginia McDowell)</t>
  </si>
  <si>
    <t>Lennon, Miss. Mary</t>
  </si>
  <si>
    <t>Saade, Mr. Jean Nassr</t>
  </si>
  <si>
    <t xml:space="preserve">Bryhl, Miss. Dagmar Jenny Ingeborg </t>
  </si>
  <si>
    <t>Parker, Mr. Clifford Richard</t>
  </si>
  <si>
    <t>SC 14888</t>
  </si>
  <si>
    <t>Faunthorpe, Mr. Harry</t>
  </si>
  <si>
    <t>Ware, Mr. John James</t>
  </si>
  <si>
    <t>CA 31352</t>
  </si>
  <si>
    <t>Oxenham, Mr. Percy Thomas</t>
  </si>
  <si>
    <t>W./C. 14260</t>
  </si>
  <si>
    <t>Oreskovic, Miss. Jelka</t>
  </si>
  <si>
    <t>Peacock, Master. Alfred Edward</t>
  </si>
  <si>
    <t>Fleming, Miss. Honora</t>
  </si>
  <si>
    <t>Touma, Miss. Maria Youssef</t>
  </si>
  <si>
    <t>Rosblom, Miss. Salli Helena</t>
  </si>
  <si>
    <t>Dennis, Mr. William</t>
  </si>
  <si>
    <t>A/5 21175</t>
  </si>
  <si>
    <t>Franklin, Mr. Charles (Charles Fardon)</t>
  </si>
  <si>
    <t>SOTON/O.Q. 3101314</t>
  </si>
  <si>
    <t>Snyder, Mr. John Pillsbury</t>
  </si>
  <si>
    <t>Mardirosian, Mr. Sarkis</t>
  </si>
  <si>
    <t>F E46</t>
  </si>
  <si>
    <t>Ford, Mr. Arthur</t>
  </si>
  <si>
    <t>A/5 1478</t>
  </si>
  <si>
    <t>Rheims, Mr. George Alexander Lucien</t>
  </si>
  <si>
    <t>PC 17607</t>
  </si>
  <si>
    <t>Daly, Miss. Margaret Marcella Maggie""</t>
  </si>
  <si>
    <t>Nasr, Mr. Mustafa</t>
  </si>
  <si>
    <t>Dodge, Dr. Washington</t>
  </si>
  <si>
    <t>A34</t>
  </si>
  <si>
    <t>Wittevrongel, Mr. Camille</t>
  </si>
  <si>
    <t>Angheloff, Mr. Minko</t>
  </si>
  <si>
    <t>Laroche, Miss. Louise</t>
  </si>
  <si>
    <t>SC/Paris 2123</t>
  </si>
  <si>
    <t>Samaan, Mr. Hanna</t>
  </si>
  <si>
    <t>Loring, Mr. Joseph Holland</t>
  </si>
  <si>
    <t>Johansson, Mr. Nils</t>
  </si>
  <si>
    <t>Olsson, Mr. Oscar Wilhelm</t>
  </si>
  <si>
    <t>Malachard, Mr. Noel</t>
  </si>
  <si>
    <t>D</t>
  </si>
  <si>
    <t>Phillips, Mr. Escott Robert</t>
  </si>
  <si>
    <t>Pokrnic, Mr. Tome</t>
  </si>
  <si>
    <t>McCarthy, Miss. Catherine Katie""</t>
  </si>
  <si>
    <t>Crosby, Mrs. Edward Gifford (Catherine Elizabeth Halstead)</t>
  </si>
  <si>
    <t>B26</t>
  </si>
  <si>
    <t>Allison, Mr. Hudson Joshua Creighton</t>
  </si>
  <si>
    <t>C22 C26</t>
  </si>
  <si>
    <t>Aks, Master. Philip Frank</t>
  </si>
  <si>
    <t>Hays, Mr. Charles Melville</t>
  </si>
  <si>
    <t>B69</t>
  </si>
  <si>
    <t>Hansen, Mrs. Claus Peter (Jennie L Howard)</t>
  </si>
  <si>
    <t>Cacic, Mr. Jego Grga</t>
  </si>
  <si>
    <t>Vartanian, Mr. David</t>
  </si>
  <si>
    <t>Sadowitz, Mr. Harry</t>
  </si>
  <si>
    <t>LP 1588</t>
  </si>
  <si>
    <t>Carr, Miss. Jeannie</t>
  </si>
  <si>
    <t>White, Mrs. John Stuart (Ella Holmes)</t>
  </si>
  <si>
    <t>PC 17760</t>
  </si>
  <si>
    <t>C32</t>
  </si>
  <si>
    <t>Hagardon, Miss. Kate</t>
  </si>
  <si>
    <t>AQ/3. 30631</t>
  </si>
  <si>
    <t>Spencer, Mr. William Augustus</t>
  </si>
  <si>
    <t>PC 17569</t>
  </si>
  <si>
    <t>B78</t>
  </si>
  <si>
    <t>Rogers, Mr. Reginald Harry</t>
  </si>
  <si>
    <t>Jonsson, Mr. Nils Hilding</t>
  </si>
  <si>
    <t>Jefferys, Mr. Ernest Wilfred</t>
  </si>
  <si>
    <t>Andersson, Mr. Johan Samuel</t>
  </si>
  <si>
    <t>Krekorian, Mr. Neshan</t>
  </si>
  <si>
    <t>F E57</t>
  </si>
  <si>
    <t>Nesson, Mr. Israel</t>
  </si>
  <si>
    <t>F2</t>
  </si>
  <si>
    <t>Rowe, Mr. Alfred G</t>
  </si>
  <si>
    <t>Kreuchen, Miss. Emilie</t>
  </si>
  <si>
    <t>Assam, Mr. Ali</t>
  </si>
  <si>
    <t>SOTON/O.Q. 3101309</t>
  </si>
  <si>
    <t>Becker, Miss. Ruth Elizabeth</t>
  </si>
  <si>
    <t>Rosenshine, Mr. George (Mr George Thorne")"</t>
  </si>
  <si>
    <t>PC 17585</t>
  </si>
  <si>
    <t>Clarke, Mr. Charles Valentine</t>
  </si>
  <si>
    <t>Enander, Mr. Ingvar</t>
  </si>
  <si>
    <t xml:space="preserve">Davies, Mrs. John Morgan (Elizabeth Agnes Mary White) </t>
  </si>
  <si>
    <t>Dulles, Mr. William Crothers</t>
  </si>
  <si>
    <t>PC 17580</t>
  </si>
  <si>
    <t>A18</t>
  </si>
  <si>
    <t>Thomas, Mr. Tannous</t>
  </si>
  <si>
    <t>Nakid, Mrs. Said (Waika Mary" Mowad)"</t>
  </si>
  <si>
    <t>Cor, Mr. Ivan</t>
  </si>
  <si>
    <t>Maguire, Mr. John Edward</t>
  </si>
  <si>
    <t>C106</t>
  </si>
  <si>
    <t>de Brito, Mr. Jose Joaquim</t>
  </si>
  <si>
    <t>Elias, Mr. Joseph</t>
  </si>
  <si>
    <t>Denbury, Mr. Herbert</t>
  </si>
  <si>
    <t>Betros, Master. Seman</t>
  </si>
  <si>
    <t>Fillbrook, Mr. Joseph Charles</t>
  </si>
  <si>
    <t>C.A. 15185</t>
  </si>
  <si>
    <t>Lundstrom, Mr. Thure Edvin</t>
  </si>
  <si>
    <t>Sage, Mr. John George</t>
  </si>
  <si>
    <t>Cardeza, Mrs. James Warburton Martinez (Charlotte Wardle Drake)</t>
  </si>
  <si>
    <t>PC 17755</t>
  </si>
  <si>
    <t>B51 B53 B55</t>
  </si>
  <si>
    <t>van Billiard, Master. James William</t>
  </si>
  <si>
    <t>Abelseth, Miss. Karen Marie</t>
  </si>
  <si>
    <t>Botsford, Mr. William Hull</t>
  </si>
  <si>
    <t>Whabee, Mrs. George Joseph (Shawneene Abi-Saab)</t>
  </si>
  <si>
    <t>Giles, Mr. Ralph</t>
  </si>
  <si>
    <t>Walcroft, Miss. Nellie</t>
  </si>
  <si>
    <t>F.C.C. 13528</t>
  </si>
  <si>
    <t>Greenfield, Mrs. Leo David (Blanche Strouse)</t>
  </si>
  <si>
    <t>PC 17759</t>
  </si>
  <si>
    <t>D10 D12</t>
  </si>
  <si>
    <t>Stokes, Mr. Philip Joseph</t>
  </si>
  <si>
    <t>F.C.C. 13540</t>
  </si>
  <si>
    <t>Dibden, Mr. William</t>
  </si>
  <si>
    <t>Herman, Mr. Samuel</t>
  </si>
  <si>
    <t>Dean, Miss. Elizabeth Gladys Millvina""</t>
  </si>
  <si>
    <t>Julian, Mr. Henry Forbes</t>
  </si>
  <si>
    <t>E60</t>
  </si>
  <si>
    <t>Brown, Mrs. John Murray (Caroline Lane Lamson)</t>
  </si>
  <si>
    <t>Lockyer, Mr. Edward</t>
  </si>
  <si>
    <t>O'Keefe, Mr. Patrick</t>
  </si>
  <si>
    <t>Lindell, Mrs. Edvard Bengtsson (Elin Gerda Persson)</t>
  </si>
  <si>
    <t>Sage, Master. William Henry</t>
  </si>
  <si>
    <t>Mallet, Mrs. Albert (Antoinette Magnin)</t>
  </si>
  <si>
    <t>S.C./PARIS 2079</t>
  </si>
  <si>
    <t>Ware, Mrs. John James (Florence Louise Long)</t>
  </si>
  <si>
    <t>Strilic, Mr. Ivan</t>
  </si>
  <si>
    <t>Harder, Mrs. George Achilles (Dorothy Annan)</t>
  </si>
  <si>
    <t>E50</t>
  </si>
  <si>
    <t>Sage, Mrs. John (Annie Bullen)</t>
  </si>
  <si>
    <t>Caram, Mr. Joseph</t>
  </si>
  <si>
    <t>Riihivouri, Miss. Susanna Juhantytar Sanni""</t>
  </si>
  <si>
    <t>Gibson, Mrs. Leonard (Pauline C Boeson)</t>
  </si>
  <si>
    <t>Pallas y Castello, Mr. Emilio</t>
  </si>
  <si>
    <t>SC/PARIS 2147</t>
  </si>
  <si>
    <t>Giles, Mr. Edgar</t>
  </si>
  <si>
    <t>Wilson, Miss. Helen Alice</t>
  </si>
  <si>
    <t>E39 E41</t>
  </si>
  <si>
    <t>Ismay, Mr. Joseph Bruce</t>
  </si>
  <si>
    <t>B52 B54 B56</t>
  </si>
  <si>
    <t>Harbeck, Mr. William H</t>
  </si>
  <si>
    <t>Dodge, Mrs. Washington (Ruth Vidaver)</t>
  </si>
  <si>
    <t>Bowen, Miss. Grace Scott</t>
  </si>
  <si>
    <t>Kink, Miss. Maria</t>
  </si>
  <si>
    <t>Cotterill, Mr. Henry Harry""</t>
  </si>
  <si>
    <t>Hipkins, Mr. William Edward</t>
  </si>
  <si>
    <t>C39</t>
  </si>
  <si>
    <t>Asplund, Master. Carl Edgar</t>
  </si>
  <si>
    <t>O'Connor, Mr. Patrick</t>
  </si>
  <si>
    <t>Foley, Mr. Joseph</t>
  </si>
  <si>
    <t>Risien, Mrs. Samuel (Emma)</t>
  </si>
  <si>
    <t>McNamee, Mrs. Neal (Eileen O'Leary)</t>
  </si>
  <si>
    <t>Wheeler, Mr. Edwin Frederick""</t>
  </si>
  <si>
    <t>SC/PARIS 2159</t>
  </si>
  <si>
    <t>Herman, Miss. Kate</t>
  </si>
  <si>
    <t>Aronsson, Mr. Ernst Axel Algot</t>
  </si>
  <si>
    <t>Ashby, Mr. John</t>
  </si>
  <si>
    <t>Canavan, Mr. Patrick</t>
  </si>
  <si>
    <t>Palsson, Master. Paul Folke</t>
  </si>
  <si>
    <t>Payne, Mr. Vivian Ponsonby</t>
  </si>
  <si>
    <t>B24</t>
  </si>
  <si>
    <t>Lines, Mrs. Ernest H (Elizabeth Lindsey James)</t>
  </si>
  <si>
    <t>PC 17592</t>
  </si>
  <si>
    <t>D28</t>
  </si>
  <si>
    <t>Abbott, Master. Eugene Joseph</t>
  </si>
  <si>
    <t>C.A. 2673</t>
  </si>
  <si>
    <t>Gilbert, Mr. William</t>
  </si>
  <si>
    <t>C.A. 30769</t>
  </si>
  <si>
    <t>Kink-Heilmann, Mr. Anton</t>
  </si>
  <si>
    <t>Smith, Mrs. Lucien Philip (Mary Eloise Hughes)</t>
  </si>
  <si>
    <t>Colbert, Mr. Patrick</t>
  </si>
  <si>
    <t>Frolicher-Stehli, Mrs. Maxmillian (Margaretha Emerentia Stehli)</t>
  </si>
  <si>
    <t>B41</t>
  </si>
  <si>
    <t>Larsson-Rondberg, Mr. Edvard A</t>
  </si>
  <si>
    <t>Conlon, Mr. Thomas Henry</t>
  </si>
  <si>
    <t>Bonnell, Miss. Caroline</t>
  </si>
  <si>
    <t>C7</t>
  </si>
  <si>
    <t>Gale, Mr. Harry</t>
  </si>
  <si>
    <t>Gibson, Miss. Dorothy Winifred</t>
  </si>
  <si>
    <t>Carrau, Mr. Jose Pedro</t>
  </si>
  <si>
    <t>Frauenthal, Mr. Isaac Gerald</t>
  </si>
  <si>
    <t>D40</t>
  </si>
  <si>
    <t>Nourney, Mr. Alfred (Baron von Drachstedt")"</t>
  </si>
  <si>
    <t>SC/PARIS 2166</t>
  </si>
  <si>
    <t>D38</t>
  </si>
  <si>
    <t>Ware, Mr. William Jeffery</t>
  </si>
  <si>
    <t>Widener, Mr. George Dunton</t>
  </si>
  <si>
    <t>Riordan, Miss. Johanna Hannah""</t>
  </si>
  <si>
    <t>Peacock, Miss. Treasteall</t>
  </si>
  <si>
    <t>Naughton, Miss. Hannah</t>
  </si>
  <si>
    <t>Minahan, Mrs. William Edward (Lillian E Thorpe)</t>
  </si>
  <si>
    <t>Henriksson, Miss. Jenny Lovisa</t>
  </si>
  <si>
    <t>Spector, Mr. Woolf</t>
  </si>
  <si>
    <t>A.5. 3236</t>
  </si>
  <si>
    <t>Oliva y Ocana, Dona. Fermina</t>
  </si>
  <si>
    <t>PC 17758</t>
  </si>
  <si>
    <t>C105</t>
  </si>
  <si>
    <t>Saether, Mr. Simon Sivertsen</t>
  </si>
  <si>
    <t>SOTON/O.Q. 3101262</t>
  </si>
  <si>
    <t>Ware, Mr. Frederick</t>
  </si>
  <si>
    <t>Peter, Master. Michael J</t>
  </si>
  <si>
    <t>Sex</t>
  </si>
  <si>
    <t xml:space="preserve">Name </t>
  </si>
  <si>
    <t>Mr.</t>
  </si>
  <si>
    <t>Mrs.</t>
  </si>
  <si>
    <t>Miss.</t>
  </si>
  <si>
    <t>Master.</t>
  </si>
  <si>
    <t>Ms.</t>
  </si>
  <si>
    <t>Col.</t>
  </si>
  <si>
    <t>Rev.</t>
  </si>
  <si>
    <t>Dr.</t>
  </si>
  <si>
    <t>Dona.</t>
  </si>
  <si>
    <t>Full Name</t>
  </si>
  <si>
    <t>Title</t>
  </si>
  <si>
    <t>Last Name</t>
  </si>
  <si>
    <t>1).</t>
  </si>
  <si>
    <t>2).</t>
  </si>
  <si>
    <t>3).</t>
  </si>
  <si>
    <t>4).</t>
  </si>
  <si>
    <t>5).</t>
  </si>
  <si>
    <t>6).</t>
  </si>
  <si>
    <t>7).</t>
  </si>
  <si>
    <t>8).</t>
  </si>
  <si>
    <t>First Name</t>
  </si>
  <si>
    <t>Row Labels</t>
  </si>
  <si>
    <t>Grand Total</t>
  </si>
  <si>
    <t>Sum of Fare</t>
  </si>
  <si>
    <t>Count of PassengerId</t>
  </si>
  <si>
    <t>Female</t>
  </si>
  <si>
    <t>Male</t>
  </si>
  <si>
    <t>Age Range</t>
  </si>
  <si>
    <t>Cherbourg</t>
  </si>
  <si>
    <t>Queenstown</t>
  </si>
  <si>
    <t>Southampton</t>
  </si>
  <si>
    <t>Survived Code</t>
  </si>
  <si>
    <t>Survival Status</t>
  </si>
  <si>
    <t xml:space="preserve">Number Of Passengers On Board </t>
  </si>
  <si>
    <t xml:space="preserve">Tailored Analysis </t>
  </si>
  <si>
    <t>3 Class</t>
  </si>
  <si>
    <t>1 Class</t>
  </si>
  <si>
    <t>2 Class</t>
  </si>
  <si>
    <t>Average of Fare</t>
  </si>
  <si>
    <t>Max of Fare</t>
  </si>
  <si>
    <t>Min of Fare</t>
  </si>
  <si>
    <t>Youth (20-39)</t>
  </si>
  <si>
    <t>Adult (40-59)</t>
  </si>
  <si>
    <t>Total Number Of Passengers on Board</t>
  </si>
  <si>
    <t>From the above data the total number of passengers on board are 418.</t>
  </si>
  <si>
    <t>Sum of PassengerId</t>
  </si>
  <si>
    <t>and 93 (23%) with third class ticket</t>
  </si>
  <si>
    <t>The ship contained 266 (64%) of Men, while Female contained 152 (36%)</t>
  </si>
  <si>
    <t>and the least category Elderly with 14 (3%) Passengers.</t>
  </si>
  <si>
    <t xml:space="preserve">From the data above, There were 218 (52%) passengers that boarded the ship with 3rd Class tickets, 107 (52%) passengers with second class tickets </t>
  </si>
  <si>
    <t>Sum of Age</t>
  </si>
  <si>
    <t>Average of Age</t>
  </si>
  <si>
    <t>Max of Age</t>
  </si>
  <si>
    <t>Min of Age</t>
  </si>
  <si>
    <t>Tfare</t>
  </si>
  <si>
    <t>From the data above, The Youth Category were 275 (66%) passengers, Teenagers with 68 (16%) Passengers, Adults with 61 (15%) Passengers</t>
  </si>
  <si>
    <t>From my analysis on the dataset, they were 135 passengers whose siblings aboard the ship; of all</t>
  </si>
  <si>
    <t>the passengers who had siblings aboard the ship, 81% (110) of them had one (1) sibling aboard the</t>
  </si>
  <si>
    <t>ship. While 10% had two siblings, 3% covers both those who had 3 or 4 siblings respectively and the</t>
  </si>
  <si>
    <t>2% for passengers who had 8 siblings and lastly 1% of passengers had 5 siblings on board.</t>
  </si>
  <si>
    <t>Passengers By Children</t>
  </si>
  <si>
    <t>There were 52 Passengers who had a child on board in the ship.</t>
  </si>
  <si>
    <t>The Total Fare Paid for the Journey is 14,892, Average fee paid is 36, Maximum 512 and Minumum 3.17.</t>
  </si>
  <si>
    <t>Although there are two passengers fee that didn’t pay but where on board in the ship.</t>
  </si>
  <si>
    <t>There are over three ports that was embarked: Queenstown, Cherbourg and Southampton</t>
  </si>
  <si>
    <t xml:space="preserve">Over 270 (65%) passengers embarked on a Journey to Southampton Port while 102 (24%) passengers </t>
  </si>
  <si>
    <t>embarked to Cherbourg Port while the least port was port Queenstown with 46 (11%) passengers.</t>
  </si>
  <si>
    <t>9),</t>
  </si>
  <si>
    <t>Column Labels</t>
  </si>
  <si>
    <t>From my analysis, they were 50 females and 57 males who used the 1st class ticket, 30 females and 63</t>
  </si>
  <si>
    <t>males who used the 2nd class ticket and finally, 72 females and 146 males used the 3rd class ticket.</t>
  </si>
  <si>
    <t>Count Of Passengers</t>
  </si>
  <si>
    <t>Age Calculations</t>
  </si>
  <si>
    <t>Teens (0-19)</t>
  </si>
  <si>
    <t>Elders (60-Above)</t>
  </si>
  <si>
    <t>Survived Calculations</t>
  </si>
  <si>
    <t>Sum of Survived Code</t>
  </si>
  <si>
    <t>Dead</t>
  </si>
  <si>
    <t>Count of Survived Code</t>
  </si>
  <si>
    <t>ship. While 10% had two siblings, 3% covers both those who had 3 and 4 siblings respectively while the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</si>
</sst>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809]* #,##0.00_-;\-[$£-809]* #,##0.00_-;_-[$£-809]* &quot;-&quot;??_-;_-@_-"/>
    <numFmt numFmtId="165" formatCode="_-[$£-809]* #,##0_-;\-[$£-809]* #,##0_-;_-[$£-809]* &quot;-&quot;??_-;_-@_-"/>
    <numFmt numFmtId="166" formatCode="0.0"/>
    <numFmt numFmtId="167" formatCode="_(* #,##0_);_(* \(#,##0\);_(* &quot;-&quot;??_);_(@_)"/>
  </numFmts>
  <fonts count="23" x14ac:knownFonts="1">
    <font>
      <sz val="11"/>
      <color theme="1"/>
      <name val="Lucida Sans Unicode"/>
      <family val="2"/>
    </font>
    <font>
      <sz val="11"/>
      <color theme="1"/>
      <name val="Lucida Sans Unicode"/>
      <family val="2"/>
    </font>
    <font>
      <sz val="18"/>
      <color theme="3"/>
      <name val="Calibri Light"/>
      <family val="2"/>
      <scheme val="major"/>
    </font>
    <font>
      <b/>
      <sz val="15"/>
      <color theme="3"/>
      <name val="Lucida Sans Unicode"/>
      <family val="2"/>
    </font>
    <font>
      <b/>
      <sz val="13"/>
      <color theme="3"/>
      <name val="Lucida Sans Unicode"/>
      <family val="2"/>
    </font>
    <font>
      <b/>
      <sz val="11"/>
      <color theme="3"/>
      <name val="Lucida Sans Unicode"/>
      <family val="2"/>
    </font>
    <font>
      <sz val="11"/>
      <color rgb="FF006100"/>
      <name val="Lucida Sans Unicode"/>
      <family val="2"/>
    </font>
    <font>
      <sz val="11"/>
      <color rgb="FF9C0006"/>
      <name val="Lucida Sans Unicode"/>
      <family val="2"/>
    </font>
    <font>
      <sz val="11"/>
      <color rgb="FF9C5700"/>
      <name val="Lucida Sans Unicode"/>
      <family val="2"/>
    </font>
    <font>
      <sz val="11"/>
      <color rgb="FF3F3F76"/>
      <name val="Lucida Sans Unicode"/>
      <family val="2"/>
    </font>
    <font>
      <b/>
      <sz val="11"/>
      <color rgb="FF3F3F3F"/>
      <name val="Lucida Sans Unicode"/>
      <family val="2"/>
    </font>
    <font>
      <b/>
      <sz val="11"/>
      <color rgb="FFFA7D00"/>
      <name val="Lucida Sans Unicode"/>
      <family val="2"/>
    </font>
    <font>
      <sz val="11"/>
      <color rgb="FFFA7D00"/>
      <name val="Lucida Sans Unicode"/>
      <family val="2"/>
    </font>
    <font>
      <b/>
      <sz val="11"/>
      <color theme="0"/>
      <name val="Lucida Sans Unicode"/>
      <family val="2"/>
    </font>
    <font>
      <sz val="11"/>
      <color rgb="FFFF0000"/>
      <name val="Lucida Sans Unicode"/>
      <family val="2"/>
    </font>
    <font>
      <i/>
      <sz val="11"/>
      <color rgb="FF7F7F7F"/>
      <name val="Lucida Sans Unicode"/>
      <family val="2"/>
    </font>
    <font>
      <b/>
      <sz val="11"/>
      <color theme="1"/>
      <name val="Lucida Sans Unicode"/>
      <family val="2"/>
    </font>
    <font>
      <sz val="11"/>
      <color theme="0"/>
      <name val="Lucida Sans Unicode"/>
      <family val="2"/>
    </font>
    <font>
      <sz val="11"/>
      <color theme="1"/>
      <name val="Times New Roman"/>
      <family val="1"/>
    </font>
    <font>
      <b/>
      <sz val="12"/>
      <color theme="1"/>
      <name val="Times New Roman"/>
      <family val="1"/>
    </font>
    <font>
      <b/>
      <sz val="12"/>
      <color theme="1"/>
      <name val="Lucida Sans Unicode"/>
      <family val="2"/>
    </font>
    <font>
      <b/>
      <sz val="16"/>
      <color theme="1"/>
      <name val="Lucida Sans Unicode"/>
      <family val="2"/>
    </font>
    <font>
      <sz val="12"/>
      <color theme="1"/>
      <name val="Lucida Sans Unicode"/>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6">
    <xf numFmtId="0" fontId="0" fillId="0" borderId="0" xfId="0"/>
    <xf numFmtId="0" fontId="18" fillId="0" borderId="0" xfId="0" applyFont="1"/>
    <xf numFmtId="0" fontId="19" fillId="0" borderId="0" xfId="0" applyFont="1"/>
    <xf numFmtId="0" fontId="20" fillId="0" borderId="0" xfId="0" applyFont="1"/>
    <xf numFmtId="0" fontId="0" fillId="0" borderId="0" xfId="0" applyNumberFormat="1"/>
    <xf numFmtId="0" fontId="0" fillId="0" borderId="0" xfId="0" pivotButton="1"/>
    <xf numFmtId="0" fontId="0" fillId="0" borderId="0" xfId="0" applyAlignment="1">
      <alignment horizontal="left"/>
    </xf>
    <xf numFmtId="49" fontId="0" fillId="0" borderId="0" xfId="0" applyNumberFormat="1"/>
    <xf numFmtId="0" fontId="0" fillId="0" borderId="11" xfId="0" applyFont="1" applyBorder="1"/>
    <xf numFmtId="0" fontId="0" fillId="0" borderId="12" xfId="0" applyFont="1" applyBorder="1"/>
    <xf numFmtId="0" fontId="0" fillId="0" borderId="13" xfId="0" applyFont="1" applyBorder="1"/>
    <xf numFmtId="0" fontId="13" fillId="34" borderId="14" xfId="0" applyFont="1" applyFill="1" applyBorder="1"/>
    <xf numFmtId="0" fontId="13" fillId="34" borderId="15" xfId="0" applyNumberFormat="1" applyFont="1" applyFill="1" applyBorder="1"/>
    <xf numFmtId="49" fontId="13" fillId="34" borderId="15" xfId="0" applyNumberFormat="1" applyFont="1" applyFill="1" applyBorder="1"/>
    <xf numFmtId="0" fontId="13" fillId="34" borderId="15" xfId="0" applyFont="1" applyFill="1" applyBorder="1"/>
    <xf numFmtId="0" fontId="13" fillId="34" borderId="16" xfId="0" applyFont="1" applyFill="1" applyBorder="1"/>
    <xf numFmtId="0" fontId="0" fillId="33" borderId="14" xfId="0" applyFont="1" applyFill="1" applyBorder="1"/>
    <xf numFmtId="0" fontId="0" fillId="33" borderId="15" xfId="0" applyFont="1" applyFill="1" applyBorder="1"/>
    <xf numFmtId="49" fontId="0" fillId="33" borderId="15" xfId="0" applyNumberFormat="1" applyFont="1" applyFill="1" applyBorder="1"/>
    <xf numFmtId="0" fontId="0" fillId="33" borderId="16" xfId="0" applyFont="1" applyFill="1" applyBorder="1"/>
    <xf numFmtId="0" fontId="0" fillId="0" borderId="14" xfId="0" applyFont="1" applyBorder="1"/>
    <xf numFmtId="0" fontId="0" fillId="0" borderId="15" xfId="0" applyFont="1" applyBorder="1"/>
    <xf numFmtId="49" fontId="0" fillId="0" borderId="15" xfId="0" applyNumberFormat="1" applyFont="1" applyBorder="1"/>
    <xf numFmtId="0" fontId="0" fillId="0" borderId="16" xfId="0" applyFont="1" applyBorder="1"/>
    <xf numFmtId="49" fontId="0" fillId="0" borderId="12" xfId="0" applyNumberFormat="1" applyFont="1" applyBorder="1"/>
    <xf numFmtId="1" fontId="0" fillId="0" borderId="0" xfId="0" applyNumberFormat="1"/>
    <xf numFmtId="164" fontId="0" fillId="0" borderId="0" xfId="0" applyNumberFormat="1"/>
    <xf numFmtId="165" fontId="0" fillId="0" borderId="0" xfId="0" applyNumberFormat="1"/>
    <xf numFmtId="0" fontId="16" fillId="0" borderId="0" xfId="0" applyFont="1"/>
    <xf numFmtId="0" fontId="0" fillId="0" borderId="10" xfId="0" applyBorder="1"/>
    <xf numFmtId="0" fontId="0" fillId="35" borderId="10" xfId="0" applyFill="1" applyBorder="1"/>
    <xf numFmtId="10" fontId="0" fillId="0" borderId="0" xfId="0" applyNumberFormat="1"/>
    <xf numFmtId="9" fontId="0" fillId="0" borderId="0" xfId="0" applyNumberFormat="1"/>
    <xf numFmtId="0" fontId="0" fillId="0" borderId="10" xfId="0" applyNumberFormat="1" applyBorder="1"/>
    <xf numFmtId="1" fontId="0" fillId="0" borderId="10" xfId="0" applyNumberFormat="1" applyBorder="1"/>
    <xf numFmtId="164" fontId="0" fillId="0" borderId="10" xfId="0" applyNumberFormat="1" applyBorder="1"/>
    <xf numFmtId="0" fontId="16" fillId="0" borderId="17" xfId="0" applyFont="1" applyBorder="1"/>
    <xf numFmtId="0" fontId="0" fillId="0" borderId="18" xfId="0" applyBorder="1"/>
    <xf numFmtId="0" fontId="0" fillId="0" borderId="19" xfId="0" applyBorder="1"/>
    <xf numFmtId="165" fontId="0" fillId="0" borderId="10" xfId="0" applyNumberFormat="1" applyBorder="1"/>
    <xf numFmtId="0" fontId="21" fillId="0" borderId="0" xfId="0" applyFont="1"/>
    <xf numFmtId="164" fontId="0" fillId="0" borderId="0" xfId="0" applyNumberFormat="1" applyAlignment="1">
      <alignment horizontal="left"/>
    </xf>
    <xf numFmtId="0" fontId="0" fillId="0" borderId="0" xfId="0" applyFill="1"/>
    <xf numFmtId="0" fontId="22" fillId="0" borderId="0" xfId="0" applyFont="1" applyFill="1"/>
    <xf numFmtId="166" fontId="0" fillId="0" borderId="0" xfId="0" applyNumberFormat="1"/>
    <xf numFmtId="167"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7">
    <dxf>
      <numFmt numFmtId="165" formatCode="_-[$£-809]* #,##0_-;\-[$£-809]* #,##0_-;_-[$£-809]* &quot;-&quot;??_-;_-@_-"/>
    </dxf>
    <dxf>
      <numFmt numFmtId="13" formatCode="0%"/>
    </dxf>
    <dxf>
      <numFmt numFmtId="165" formatCode="_-[$£-809]* #,##0_-;\-[$£-809]* #,##0_-;_-[$£-809]* &quot;-&quot;??_-;_-@_-"/>
    </dxf>
    <dxf>
      <numFmt numFmtId="1" formatCode="0"/>
    </dxf>
    <dxf>
      <numFmt numFmtId="167" formatCode="_(* #,##0_);_(* \(#,##0\);_(* &quot;-&quot;??_);_(@_)"/>
    </dxf>
    <dxf>
      <numFmt numFmtId="13" formatCode="0%"/>
    </dxf>
    <dxf>
      <numFmt numFmtId="13" formatCode="0%"/>
    </dxf>
    <dxf>
      <numFmt numFmtId="165" formatCode="_-[$£-809]* #,##0_-;\-[$£-809]* #,##0_-;_-[$£-809]* &quot;-&quot;??_-;_-@_-"/>
    </dxf>
    <dxf>
      <numFmt numFmtId="165" formatCode="_-[$£-809]* #,##0_-;\-[$£-809]* #,##0_-;_-[$£-809]* &quot;-&quot;??_-;_-@_-"/>
    </dxf>
    <dxf>
      <numFmt numFmtId="166" formatCode="0.0"/>
    </dxf>
    <dxf>
      <numFmt numFmtId="13" formatCode="0%"/>
    </dxf>
    <dxf>
      <numFmt numFmtId="14" formatCode="0.00%"/>
    </dxf>
    <dxf>
      <fill>
        <patternFill patternType="solid">
          <bgColor rgb="FFFFC000"/>
        </patternFill>
      </fill>
    </dxf>
    <dxf>
      <fill>
        <patternFill patternType="solid">
          <bgColor theme="9"/>
        </patternFill>
      </fill>
    </dxf>
    <dxf>
      <numFmt numFmtId="13" formatCode="0%"/>
    </dxf>
    <dxf>
      <font>
        <b val="0"/>
        <i val="0"/>
        <strike val="0"/>
        <condense val="0"/>
        <extend val="0"/>
        <outline val="0"/>
        <shadow val="0"/>
        <u val="none"/>
        <vertAlign val="baseline"/>
        <sz val="11"/>
        <color theme="1"/>
        <name val="Lucida Sans Unicode"/>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border diagonalUp="0" diagonalDown="0">
        <left style="thin">
          <color theme="4" tint="0.39997558519241921"/>
        </left>
        <right/>
        <top style="thin">
          <color theme="4" tint="0.39997558519241921"/>
        </top>
        <bottom/>
        <vertical/>
        <horizontal/>
      </border>
    </dxf>
    <dxf>
      <border outline="0">
        <right style="thin">
          <color theme="4" tint="0.39997558519241921"/>
        </right>
      </border>
    </dxf>
    <dxf>
      <font>
        <b val="0"/>
        <i val="0"/>
        <strike val="0"/>
        <condense val="0"/>
        <extend val="0"/>
        <outline val="0"/>
        <shadow val="0"/>
        <u val="none"/>
        <vertAlign val="baseline"/>
        <sz val="11"/>
        <color theme="1"/>
        <name val="Lucida Sans Unicode"/>
        <family val="2"/>
        <scheme val="none"/>
      </font>
    </dxf>
    <dxf>
      <font>
        <b/>
        <i val="0"/>
        <strike val="0"/>
        <condense val="0"/>
        <extend val="0"/>
        <outline val="0"/>
        <shadow val="0"/>
        <u val="none"/>
        <vertAlign val="baseline"/>
        <sz val="11"/>
        <color theme="0"/>
        <name val="Lucida Sans Unicode"/>
        <family val="2"/>
        <scheme val="none"/>
      </font>
      <fill>
        <patternFill patternType="solid">
          <fgColor theme="4"/>
          <bgColor theme="4"/>
        </patternFill>
      </fill>
    </dxf>
    <dxf>
      <numFmt numFmtId="0" formatCode="General"/>
    </dxf>
    <dxf>
      <numFmt numFmtId="1" formatCode="0"/>
    </dxf>
    <dxf>
      <numFmt numFmtId="0" formatCode="General"/>
    </dxf>
    <dxf>
      <numFmt numFmtId="0" formatCode="General"/>
    </dxf>
    <dxf>
      <font>
        <b val="0"/>
        <i val="0"/>
        <strike val="0"/>
        <condense val="0"/>
        <extend val="0"/>
        <outline val="0"/>
        <shadow val="0"/>
        <u val="none"/>
        <vertAlign val="baseline"/>
        <sz val="11"/>
        <color theme="1"/>
        <name val="Lucida Sans Unicode"/>
        <family val="2"/>
        <scheme val="none"/>
      </font>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Lucida Sans Unicode"/>
        <family val="2"/>
        <scheme val="none"/>
      </font>
      <border diagonalUp="0" diagonalDown="0">
        <left/>
        <right/>
        <top style="thin">
          <color theme="4" tint="0.39997558519241921"/>
        </top>
        <bottom/>
        <vertical/>
        <horizontal/>
      </border>
    </dxf>
    <dxf>
      <border outline="0">
        <left style="thin">
          <color theme="4" tint="0.39997558519241921"/>
        </left>
      </border>
    </dxf>
    <dxf>
      <numFmt numFmtId="165" formatCode="_-[$£-809]* #,##0_-;\-[$£-809]* #,##0_-;_-[$£-809]* &quot;-&quot;??_-;_-@_-"/>
    </dxf>
    <dxf>
      <numFmt numFmtId="165" formatCode="_-[$£-809]* #,##0_-;\-[$£-809]* #,##0_-;_-[$£-809]* &quot;-&quot;??_-;_-@_-"/>
    </dxf>
    <dxf>
      <numFmt numFmtId="13" formatCode="0%"/>
    </dxf>
    <dxf>
      <numFmt numFmtId="165" formatCode="_-[$£-809]* #,##0_-;\-[$£-809]* #,##0_-;_-[$£-809]* &quot;-&quot;??_-;_-@_-"/>
    </dxf>
    <dxf>
      <fill>
        <patternFill patternType="solid">
          <bgColor rgb="FFFFC000"/>
        </patternFill>
      </fill>
    </dxf>
    <dxf>
      <fill>
        <patternFill patternType="solid">
          <bgColor theme="9"/>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numFmt numFmtId="165" formatCode="_-[$£-809]* #,##0_-;\-[$£-809]* #,##0_-;_-[$£-809]* &quot;-&quot;??_-;_-@_-"/>
    </dxf>
    <dxf>
      <numFmt numFmtId="13" formatCode="0%"/>
    </dxf>
    <dxf>
      <numFmt numFmtId="165" formatCode="_-[$£-809]* #,##0_-;\-[$£-809]* #,##0_-;_-[$£-809]*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_-[$£-809]* #,##0.00_-;\-[$£-809]* #,##0.00_-;_-[$£-809]*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809]* #,##0_-;\-[$£-809]* #,##0_-;_-[$£-809]*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_-[$£-809]* #,##0.00_-;\-[$£-809]* #,##0.00_-;_-[$£-809]*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_-[$£-809]* #,##0.00_-;\-[$£-809]* #,##0.00_-;_-[$£-809]*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809]* #,##0_-;\-[$£-809]* #,##0_-;_-[$£-809]*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_-[$£-809]* #,##0.00_-;\-[$£-809]* #,##0.00_-;_-[$£-809]* &quot;-&quot;??_-;_-@_-"/>
    </dxf>
    <dxf>
      <font>
        <color theme="1"/>
        <name val="Yu Gothic UI Semibold"/>
        <family val="2"/>
        <scheme val="none"/>
      </font>
      <fill>
        <patternFill>
          <bgColor rgb="FFFFFF00"/>
        </patternFill>
      </fill>
      <border>
        <bottom style="thin">
          <color theme="4"/>
        </bottom>
        <vertical/>
        <horizontal/>
      </border>
    </dxf>
    <dxf>
      <font>
        <color theme="1"/>
      </font>
      <fill>
        <patternFill>
          <bgColor theme="1"/>
        </patternFill>
      </fill>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Light1 2" pivot="0" table="0" count="10" xr9:uid="{76996C44-190B-485E-BAE3-EECAC022ECEC}">
      <tableStyleElement type="wholeTable" dxfId="76"/>
      <tableStyleElement type="headerRow" dxfId="7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[Titanic_Analyzed.xlsm]Titanic_analyzed!PivotTable11</c:name>
    <c:fmtId val="5"/>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No.</a:t>
            </a:r>
            <a:r>
              <a:rPr lang="en-US" sz="1200" b="1" baseline="0"/>
              <a:t> Of Passengers By Class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Titanic_analyzed!$V$10</c:f>
              <c:strCache>
                <c:ptCount val="1"/>
                <c:pt idx="0">
                  <c:v>Count of PassengerId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Titanic_analyzed!$U$11:$U$14</c:f>
              <c:strCache>
                <c:ptCount val="3"/>
                <c:pt idx="0">
                  <c:v>3 Class</c:v>
                </c:pt>
                <c:pt idx="1">
                  <c:v>1 Class</c:v>
                </c:pt>
                <c:pt idx="2">
                  <c:v>2 Class</c:v>
                </c:pt>
              </c:strCache>
            </c:strRef>
          </c:cat>
          <c:val>
            <c:numRef>
              <c:f>Titanic_analyzed!$V$11:$V$14</c:f>
              <c:numCache>
                <c:formatCode>General</c:formatCode>
                <c:ptCount val="3"/>
                <c:pt idx="0">
                  <c:v>218</c:v>
                </c:pt>
                <c:pt idx="1">
                  <c:v>107</c:v>
                </c:pt>
                <c:pt idx="2">
                  <c:v>93</c:v>
                </c:pt>
              </c:numCache>
            </c:numRef>
          </c:val>
          <c:extLst>
            <c:ext xmlns:c16="http://schemas.microsoft.com/office/drawing/2014/chart" uri="{C3380CC4-5D6E-409C-BE32-E72D297353CC}">
              <c16:uniqueId val="{00000000-C812-4709-B306-F52C8EE6CD2A}"/>
            </c:ext>
          </c:extLst>
        </c:ser>
        <c:ser>
          <c:idx val="1"/>
          <c:order val="1"/>
          <c:tx>
            <c:strRef>
              <c:f>Titanic_analyzed!$W$10</c:f>
              <c:strCache>
                <c:ptCount val="1"/>
                <c:pt idx="0">
                  <c:v>Sum of PassengerId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Titanic_analyzed!$U$11:$U$14</c:f>
              <c:strCache>
                <c:ptCount val="3"/>
                <c:pt idx="0">
                  <c:v>3 Class</c:v>
                </c:pt>
                <c:pt idx="1">
                  <c:v>1 Class</c:v>
                </c:pt>
                <c:pt idx="2">
                  <c:v>2 Class</c:v>
                </c:pt>
              </c:strCache>
            </c:strRef>
          </c:cat>
          <c:val>
            <c:numRef>
              <c:f>Titanic_analyzed!$W$11:$W$14</c:f>
              <c:numCache>
                <c:formatCode>0%</c:formatCode>
                <c:ptCount val="3"/>
                <c:pt idx="0">
                  <c:v>0.51853550691399519</c:v>
                </c:pt>
                <c:pt idx="1">
                  <c:v>0.25545152377453484</c:v>
                </c:pt>
                <c:pt idx="2">
                  <c:v>0.22601296931147</c:v>
                </c:pt>
              </c:numCache>
            </c:numRef>
          </c:val>
          <c:extLst>
            <c:ext xmlns:c16="http://schemas.microsoft.com/office/drawing/2014/chart" uri="{C3380CC4-5D6E-409C-BE32-E72D297353CC}">
              <c16:uniqueId val="{00000002-C812-4709-B306-F52C8EE6CD2A}"/>
            </c:ext>
          </c:extLst>
        </c:ser>
        <c:dLbls>
          <c:dLblPos val="outEnd"/>
          <c:showLegendKey val="0"/>
          <c:showVal val="1"/>
          <c:showCatName val="0"/>
          <c:showSerName val="0"/>
          <c:showPercent val="0"/>
          <c:showBubbleSize val="0"/>
        </c:dLbls>
        <c:gapWidth val="219"/>
        <c:overlap val="-27"/>
        <c:axId val="1364292559"/>
        <c:axId val="1362000351"/>
      </c:barChart>
      <c:catAx>
        <c:axId val="136429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2000351"/>
        <c:crosses val="autoZero"/>
        <c:auto val="1"/>
        <c:lblAlgn val="ctr"/>
        <c:lblOffset val="100"/>
        <c:noMultiLvlLbl val="0"/>
      </c:catAx>
      <c:valAx>
        <c:axId val="1362000351"/>
        <c:scaling>
          <c:orientation val="minMax"/>
        </c:scaling>
        <c:delete val="1"/>
        <c:axPos val="l"/>
        <c:numFmt formatCode="General" sourceLinked="1"/>
        <c:majorTickMark val="none"/>
        <c:minorTickMark val="none"/>
        <c:tickLblPos val="nextTo"/>
        <c:crossAx val="136429255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[Titanic_Analyzed.xlsm]Titanic_analyzed!PivotTable12</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Count of Passengers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Titanic_analyzed!$V$33</c:f>
              <c:strCache>
                <c:ptCount val="1"/>
                <c:pt idx="0">
                  <c:v>Count of PassengerId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58-470A-9CBF-2FC8D1FC90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58-470A-9CBF-2FC8D1FC90A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Titanic_analyzed!$U$34:$U$36</c:f>
              <c:strCache>
                <c:ptCount val="2"/>
                <c:pt idx="0">
                  <c:v>Male</c:v>
                </c:pt>
                <c:pt idx="1">
                  <c:v>Female</c:v>
                </c:pt>
              </c:strCache>
            </c:strRef>
          </c:cat>
          <c:val>
            <c:numRef>
              <c:f>Titanic_analyzed!$V$34:$V$36</c:f>
              <c:numCache>
                <c:formatCode>General</c:formatCode>
                <c:ptCount val="2"/>
                <c:pt idx="0">
                  <c:v>266</c:v>
                </c:pt>
                <c:pt idx="1">
                  <c:v>152</c:v>
                </c:pt>
              </c:numCache>
            </c:numRef>
          </c:val>
          <c:extLst>
            <c:ext xmlns:c16="http://schemas.microsoft.com/office/drawing/2014/chart" uri="{C3380CC4-5D6E-409C-BE32-E72D297353CC}">
              <c16:uniqueId val="{00000000-1E28-44AE-A11A-71923683F11F}"/>
            </c:ext>
          </c:extLst>
        </c:ser>
        <c:ser>
          <c:idx val="1"/>
          <c:order val="1"/>
          <c:tx>
            <c:strRef>
              <c:f>Titanic_analyzed!$W$33</c:f>
              <c:strCache>
                <c:ptCount val="1"/>
                <c:pt idx="0">
                  <c:v>Sum of PassengerId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EB58-470A-9CBF-2FC8D1FC90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EB58-470A-9CBF-2FC8D1FC90A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Titanic_analyzed!$U$34:$U$36</c:f>
              <c:strCache>
                <c:ptCount val="2"/>
                <c:pt idx="0">
                  <c:v>Male</c:v>
                </c:pt>
                <c:pt idx="1">
                  <c:v>Female</c:v>
                </c:pt>
              </c:strCache>
            </c:strRef>
          </c:cat>
          <c:val>
            <c:numRef>
              <c:f>Titanic_analyzed!$W$34:$W$36</c:f>
              <c:numCache>
                <c:formatCode>0%</c:formatCode>
                <c:ptCount val="2"/>
                <c:pt idx="0">
                  <c:v>0.63758969933196963</c:v>
                </c:pt>
                <c:pt idx="1">
                  <c:v>0.36241030066803043</c:v>
                </c:pt>
              </c:numCache>
            </c:numRef>
          </c:val>
          <c:extLst>
            <c:ext xmlns:c16="http://schemas.microsoft.com/office/drawing/2014/chart" uri="{C3380CC4-5D6E-409C-BE32-E72D297353CC}">
              <c16:uniqueId val="{00000001-1E28-44AE-A11A-71923683F11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[Titanic_Analyzed.xlsm]Titanic_analyzed!PivotTable13</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Age Category On</a:t>
            </a:r>
            <a:r>
              <a:rPr lang="en-US" sz="1200" b="1" baseline="0"/>
              <a:t> Board</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Titanic_analyzed!$V$53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Titanic_analyzed!$U$54:$U$58</c:f>
              <c:strCache>
                <c:ptCount val="4"/>
                <c:pt idx="0">
                  <c:v>Youth (20-39)</c:v>
                </c:pt>
                <c:pt idx="1">
                  <c:v>Adult (40-59)</c:v>
                </c:pt>
                <c:pt idx="2">
                  <c:v>Teens (0-19)</c:v>
                </c:pt>
                <c:pt idx="3">
                  <c:v>Elders (60-Above)</c:v>
                </c:pt>
              </c:strCache>
            </c:strRef>
          </c:cat>
          <c:val>
            <c:numRef>
              <c:f>Titanic_analyzed!$V$54:$V$58</c:f>
              <c:numCache>
                <c:formatCode>General</c:formatCode>
                <c:ptCount val="4"/>
                <c:pt idx="0">
                  <c:v>275</c:v>
                </c:pt>
                <c:pt idx="1">
                  <c:v>68</c:v>
                </c:pt>
                <c:pt idx="2">
                  <c:v>61</c:v>
                </c:pt>
                <c:pt idx="3">
                  <c:v>14</c:v>
                </c:pt>
              </c:numCache>
            </c:numRef>
          </c:val>
          <c:extLst>
            <c:ext xmlns:c16="http://schemas.microsoft.com/office/drawing/2014/chart" uri="{C3380CC4-5D6E-409C-BE32-E72D297353CC}">
              <c16:uniqueId val="{00000000-9B86-4B9F-B572-6FDCA8AF9C12}"/>
            </c:ext>
          </c:extLst>
        </c:ser>
        <c:dLbls>
          <c:showLegendKey val="0"/>
          <c:showVal val="0"/>
          <c:showCatName val="0"/>
          <c:showSerName val="0"/>
          <c:showPercent val="0"/>
          <c:showBubbleSize val="0"/>
        </c:dLbls>
        <c:gapWidth val="219"/>
        <c:overlap val="-27"/>
        <c:axId val="1446361647"/>
        <c:axId val="1446359151"/>
      </c:barChart>
      <c:catAx>
        <c:axId val="144636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359151"/>
        <c:crosses val="autoZero"/>
        <c:auto val="1"/>
        <c:lblAlgn val="ctr"/>
        <c:lblOffset val="100"/>
        <c:noMultiLvlLbl val="0"/>
      </c:catAx>
      <c:valAx>
        <c:axId val="1446359151"/>
        <c:scaling>
          <c:orientation val="minMax"/>
        </c:scaling>
        <c:delete val="1"/>
        <c:axPos val="l"/>
        <c:numFmt formatCode="General" sourceLinked="1"/>
        <c:majorTickMark val="none"/>
        <c:minorTickMark val="none"/>
        <c:tickLblPos val="nextTo"/>
        <c:crossAx val="1446361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[Titanic_Analyzed.xlsm]Titanic_analyzed!PivotTable14</c:name>
    <c:fmtId val="0"/>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Passengers</a:t>
            </a:r>
            <a:r>
              <a:rPr lang="en-US" sz="1100" b="1" baseline="0"/>
              <a:t> By Siblings</a:t>
            </a:r>
            <a:endParaRPr lang="en-US"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Titanic_analyzed!$V$76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Titanic_analyzed!$U$77:$U$83</c:f>
              <c:strCache>
                <c:ptCount val="6"/>
                <c:pt idx="0">
                  <c:v>5</c:v>
                </c:pt>
                <c:pt idx="1">
                  <c:v>8</c:v>
                </c:pt>
                <c:pt idx="2">
                  <c:v>3</c:v>
                </c:pt>
                <c:pt idx="3">
                  <c:v>4</c:v>
                </c:pt>
                <c:pt idx="4">
                  <c:v>2</c:v>
                </c:pt>
                <c:pt idx="5">
                  <c:v>1</c:v>
                </c:pt>
              </c:strCache>
            </c:strRef>
          </c:cat>
          <c:val>
            <c:numRef>
              <c:f>Titanic_analyzed!$V$77:$V$83</c:f>
              <c:numCache>
                <c:formatCode>General</c:formatCode>
                <c:ptCount val="6"/>
                <c:pt idx="0">
                  <c:v>1</c:v>
                </c:pt>
                <c:pt idx="1">
                  <c:v>2</c:v>
                </c:pt>
                <c:pt idx="2">
                  <c:v>4</c:v>
                </c:pt>
                <c:pt idx="3">
                  <c:v>4</c:v>
                </c:pt>
                <c:pt idx="4">
                  <c:v>14</c:v>
                </c:pt>
                <c:pt idx="5">
                  <c:v>110</c:v>
                </c:pt>
              </c:numCache>
            </c:numRef>
          </c:val>
          <c:extLst>
            <c:ext xmlns:c16="http://schemas.microsoft.com/office/drawing/2014/chart" uri="{C3380CC4-5D6E-409C-BE32-E72D297353CC}">
              <c16:uniqueId val="{00000000-CC55-4D48-9A5C-A84F264BFC5F}"/>
            </c:ext>
          </c:extLst>
        </c:ser>
        <c:dLbls>
          <c:showLegendKey val="0"/>
          <c:showVal val="0"/>
          <c:showCatName val="0"/>
          <c:showSerName val="0"/>
          <c:showPercent val="0"/>
          <c:showBubbleSize val="0"/>
        </c:dLbls>
        <c:gapWidth val="182"/>
        <c:axId val="1446359567"/>
        <c:axId val="1446359983"/>
      </c:barChart>
      <c:catAx>
        <c:axId val="144635956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359983"/>
        <c:crosses val="autoZero"/>
        <c:auto val="1"/>
        <c:lblAlgn val="ctr"/>
        <c:lblOffset val="100"/>
        <c:noMultiLvlLbl val="0"/>
      </c:catAx>
      <c:valAx>
        <c:axId val="144635998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359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[Titanic_Analyzed.xlsm]Titanic_analyzed!PivotTable21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Journey</a:t>
            </a:r>
            <a:r>
              <a:rPr lang="en-US" baseline="0"/>
              <a:t> Embarked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Titanic_analyzed!$V$119</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Titanic_analyzed!$U$120:$U$123</c:f>
              <c:strCache>
                <c:ptCount val="3"/>
                <c:pt idx="0">
                  <c:v>Southampton</c:v>
                </c:pt>
                <c:pt idx="1">
                  <c:v>Cherbourg</c:v>
                </c:pt>
                <c:pt idx="2">
                  <c:v>Queenstown</c:v>
                </c:pt>
              </c:strCache>
            </c:strRef>
          </c:cat>
          <c:val>
            <c:numRef>
              <c:f>Titanic_analyzed!$V$120:$V$123</c:f>
              <c:numCache>
                <c:formatCode>General</c:formatCode>
                <c:ptCount val="3"/>
                <c:pt idx="0">
                  <c:v>270</c:v>
                </c:pt>
                <c:pt idx="1">
                  <c:v>102</c:v>
                </c:pt>
                <c:pt idx="2">
                  <c:v>46</c:v>
                </c:pt>
              </c:numCache>
            </c:numRef>
          </c:val>
          <c:extLst>
            <c:ext xmlns:c16="http://schemas.microsoft.com/office/drawing/2014/chart" uri="{C3380CC4-5D6E-409C-BE32-E72D297353CC}">
              <c16:uniqueId val="{00000000-D0B4-4EE0-B641-25D322B18C5C}"/>
            </c:ext>
          </c:extLst>
        </c:ser>
        <c:dLbls>
          <c:dLblPos val="outEnd"/>
          <c:showLegendKey val="0"/>
          <c:showVal val="1"/>
          <c:showCatName val="0"/>
          <c:showSerName val="0"/>
          <c:showPercent val="0"/>
          <c:showBubbleSize val="0"/>
        </c:dLbls>
        <c:gapWidth val="150"/>
        <c:axId val="1276708527"/>
        <c:axId val="1276724751"/>
      </c:barChart>
      <c:valAx>
        <c:axId val="1276724751"/>
        <c:scaling>
          <c:orientation val="minMax"/>
        </c:scaling>
        <c:delete val="1"/>
        <c:axPos val="b"/>
        <c:numFmt formatCode="General" sourceLinked="1"/>
        <c:majorTickMark val="out"/>
        <c:minorTickMark val="none"/>
        <c:tickLblPos val="nextTo"/>
        <c:crossAx val="1276708527"/>
        <c:crosses val="autoZero"/>
        <c:crossBetween val="between"/>
      </c:valAx>
      <c:catAx>
        <c:axId val="127670852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7247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[Titanic_Analyzed.xlsm]Titanic_analyzed!PivotTable22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Ship</a:t>
            </a:r>
            <a:r>
              <a:rPr lang="en-GB" baseline="0"/>
              <a:t> Class By Sex</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Titanic_analyzed!$V$143:$V$144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Titanic_analyzed!$U$145:$U$148</c:f>
              <c:strCache>
                <c:ptCount val="3"/>
                <c:pt idx="0">
                  <c:v>1 Class</c:v>
                </c:pt>
                <c:pt idx="1">
                  <c:v>2 Class</c:v>
                </c:pt>
                <c:pt idx="2">
                  <c:v>3 Class</c:v>
                </c:pt>
              </c:strCache>
            </c:strRef>
          </c:cat>
          <c:val>
            <c:numRef>
              <c:f>Titanic_analyzed!$V$145:$V$148</c:f>
              <c:numCache>
                <c:formatCode>General</c:formatCode>
                <c:ptCount val="3"/>
                <c:pt idx="0">
                  <c:v>50</c:v>
                </c:pt>
                <c:pt idx="1">
                  <c:v>30</c:v>
                </c:pt>
                <c:pt idx="2">
                  <c:v>72</c:v>
                </c:pt>
              </c:numCache>
            </c:numRef>
          </c:val>
          <c:extLst>
            <c:ext xmlns:c16="http://schemas.microsoft.com/office/drawing/2014/chart" uri="{C3380CC4-5D6E-409C-BE32-E72D297353CC}">
              <c16:uniqueId val="{0000000F-86D3-4AAD-A840-8D5D769B7FBB}"/>
            </c:ext>
          </c:extLst>
        </c:ser>
        <c:ser>
          <c:idx val="1"/>
          <c:order val="1"/>
          <c:tx>
            <c:strRef>
              <c:f>Titanic_analyzed!$W$143:$W$144</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Titanic_analyzed!$U$145:$U$148</c:f>
              <c:strCache>
                <c:ptCount val="3"/>
                <c:pt idx="0">
                  <c:v>1 Class</c:v>
                </c:pt>
                <c:pt idx="1">
                  <c:v>2 Class</c:v>
                </c:pt>
                <c:pt idx="2">
                  <c:v>3 Class</c:v>
                </c:pt>
              </c:strCache>
            </c:strRef>
          </c:cat>
          <c:val>
            <c:numRef>
              <c:f>Titanic_analyzed!$W$145:$W$148</c:f>
              <c:numCache>
                <c:formatCode>General</c:formatCode>
                <c:ptCount val="3"/>
                <c:pt idx="0">
                  <c:v>57</c:v>
                </c:pt>
                <c:pt idx="1">
                  <c:v>63</c:v>
                </c:pt>
                <c:pt idx="2">
                  <c:v>146</c:v>
                </c:pt>
              </c:numCache>
            </c:numRef>
          </c:val>
          <c:extLst>
            <c:ext xmlns:c16="http://schemas.microsoft.com/office/drawing/2014/chart" uri="{C3380CC4-5D6E-409C-BE32-E72D297353CC}">
              <c16:uniqueId val="{00000010-86D3-4AAD-A840-8D5D769B7FBB}"/>
            </c:ext>
          </c:extLst>
        </c:ser>
        <c:dLbls>
          <c:dLblPos val="outEnd"/>
          <c:showLegendKey val="0"/>
          <c:showVal val="1"/>
          <c:showCatName val="0"/>
          <c:showSerName val="0"/>
          <c:showPercent val="0"/>
          <c:showBubbleSize val="0"/>
        </c:dLbls>
        <c:gapWidth val="182"/>
        <c:axId val="1448933327"/>
        <c:axId val="1448937071"/>
      </c:barChart>
      <c:catAx>
        <c:axId val="1448933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937071"/>
        <c:crosses val="autoZero"/>
        <c:auto val="1"/>
        <c:lblAlgn val="ctr"/>
        <c:lblOffset val="100"/>
        <c:noMultiLvlLbl val="0"/>
      </c:catAx>
      <c:valAx>
        <c:axId val="1448937071"/>
        <c:scaling>
          <c:orientation val="minMax"/>
        </c:scaling>
        <c:delete val="1"/>
        <c:axPos val="b"/>
        <c:numFmt formatCode="General" sourceLinked="1"/>
        <c:majorTickMark val="none"/>
        <c:minorTickMark val="none"/>
        <c:tickLblPos val="nextTo"/>
        <c:crossAx val="1448933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[Titanic_Analyzed.xlsm]Titanic_analyzed!PivotTable12</c:name>
    <c:fmtId val="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Count of Passengers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Titanic_analyzed!$V$33</c:f>
              <c:strCache>
                <c:ptCount val="1"/>
                <c:pt idx="0">
                  <c:v>Count of PassengerId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11-4A6C-85C2-8779FE2705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11-4A6C-85C2-8779FE2705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Titanic_analyzed!$U$34:$U$36</c:f>
              <c:strCache>
                <c:ptCount val="2"/>
                <c:pt idx="0">
                  <c:v>Male</c:v>
                </c:pt>
                <c:pt idx="1">
                  <c:v>Female</c:v>
                </c:pt>
              </c:strCache>
            </c:strRef>
          </c:cat>
          <c:val>
            <c:numRef>
              <c:f>Titanic_analyzed!$V$34:$V$36</c:f>
              <c:numCache>
                <c:formatCode>General</c:formatCode>
                <c:ptCount val="2"/>
                <c:pt idx="0">
                  <c:v>266</c:v>
                </c:pt>
                <c:pt idx="1">
                  <c:v>152</c:v>
                </c:pt>
              </c:numCache>
            </c:numRef>
          </c:val>
          <c:extLst>
            <c:ext xmlns:c16="http://schemas.microsoft.com/office/drawing/2014/chart" uri="{C3380CC4-5D6E-409C-BE32-E72D297353CC}">
              <c16:uniqueId val="{00000004-A611-4A6C-85C2-8779FE2705B8}"/>
            </c:ext>
          </c:extLst>
        </c:ser>
        <c:ser>
          <c:idx val="1"/>
          <c:order val="1"/>
          <c:tx>
            <c:strRef>
              <c:f>Titanic_analyzed!$W$33</c:f>
              <c:strCache>
                <c:ptCount val="1"/>
                <c:pt idx="0">
                  <c:v>Sum of PassengerId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A611-4A6C-85C2-8779FE2705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A611-4A6C-85C2-8779FE2705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Titanic_analyzed!$U$34:$U$36</c:f>
              <c:strCache>
                <c:ptCount val="2"/>
                <c:pt idx="0">
                  <c:v>Male</c:v>
                </c:pt>
                <c:pt idx="1">
                  <c:v>Female</c:v>
                </c:pt>
              </c:strCache>
            </c:strRef>
          </c:cat>
          <c:val>
            <c:numRef>
              <c:f>Titanic_analyzed!$W$34:$W$36</c:f>
              <c:numCache>
                <c:formatCode>0%</c:formatCode>
                <c:ptCount val="2"/>
                <c:pt idx="0">
                  <c:v>0.63758969933196963</c:v>
                </c:pt>
                <c:pt idx="1">
                  <c:v>0.36241030066803043</c:v>
                </c:pt>
              </c:numCache>
            </c:numRef>
          </c:val>
          <c:extLst>
            <c:ext xmlns:c16="http://schemas.microsoft.com/office/drawing/2014/chart" uri="{C3380CC4-5D6E-409C-BE32-E72D297353CC}">
              <c16:uniqueId val="{00000009-A611-4A6C-85C2-8779FE2705B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[Titanic_Analyzed.xlsm]Titanic_analyzed!PivotTable14</c:name>
    <c:fmtId val="2"/>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Passengers</a:t>
            </a:r>
            <a:r>
              <a:rPr lang="en-US" sz="1100" b="1" baseline="0"/>
              <a:t> By Siblings</a:t>
            </a:r>
            <a:endParaRPr lang="en-US"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Titanic_analyzed!$V$76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Titanic_analyzed!$U$77:$U$83</c:f>
              <c:strCache>
                <c:ptCount val="6"/>
                <c:pt idx="0">
                  <c:v>5</c:v>
                </c:pt>
                <c:pt idx="1">
                  <c:v>8</c:v>
                </c:pt>
                <c:pt idx="2">
                  <c:v>3</c:v>
                </c:pt>
                <c:pt idx="3">
                  <c:v>4</c:v>
                </c:pt>
                <c:pt idx="4">
                  <c:v>2</c:v>
                </c:pt>
                <c:pt idx="5">
                  <c:v>1</c:v>
                </c:pt>
              </c:strCache>
            </c:strRef>
          </c:cat>
          <c:val>
            <c:numRef>
              <c:f>Titanic_analyzed!$V$77:$V$83</c:f>
              <c:numCache>
                <c:formatCode>General</c:formatCode>
                <c:ptCount val="6"/>
                <c:pt idx="0">
                  <c:v>1</c:v>
                </c:pt>
                <c:pt idx="1">
                  <c:v>2</c:v>
                </c:pt>
                <c:pt idx="2">
                  <c:v>4</c:v>
                </c:pt>
                <c:pt idx="3">
                  <c:v>4</c:v>
                </c:pt>
                <c:pt idx="4">
                  <c:v>14</c:v>
                </c:pt>
                <c:pt idx="5">
                  <c:v>110</c:v>
                </c:pt>
              </c:numCache>
            </c:numRef>
          </c:val>
          <c:extLst>
            <c:ext xmlns:c16="http://schemas.microsoft.com/office/drawing/2014/chart" uri="{C3380CC4-5D6E-409C-BE32-E72D297353CC}">
              <c16:uniqueId val="{00000000-07DB-4F74-A2BC-4BEF855C7663}"/>
            </c:ext>
          </c:extLst>
        </c:ser>
        <c:dLbls>
          <c:showLegendKey val="0"/>
          <c:showVal val="0"/>
          <c:showCatName val="0"/>
          <c:showSerName val="0"/>
          <c:showPercent val="0"/>
          <c:showBubbleSize val="0"/>
        </c:dLbls>
        <c:gapWidth val="182"/>
        <c:axId val="1446359567"/>
        <c:axId val="1446359983"/>
      </c:barChart>
      <c:catAx>
        <c:axId val="144635956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359983"/>
        <c:crosses val="autoZero"/>
        <c:auto val="1"/>
        <c:lblAlgn val="ctr"/>
        <c:lblOffset val="100"/>
        <c:noMultiLvlLbl val="0"/>
      </c:catAx>
      <c:valAx>
        <c:axId val="144635998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359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[Titanic_Analyzed.xlsm]Titanic_analyzed!PivotTable21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Journey</a:t>
            </a:r>
            <a:r>
              <a:rPr lang="en-US" baseline="0"/>
              <a:t> Embarked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Titanic_analyzed!$V$119</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Titanic_analyzed!$U$120:$U$123</c:f>
              <c:strCache>
                <c:ptCount val="3"/>
                <c:pt idx="0">
                  <c:v>Southampton</c:v>
                </c:pt>
                <c:pt idx="1">
                  <c:v>Cherbourg</c:v>
                </c:pt>
                <c:pt idx="2">
                  <c:v>Queenstown</c:v>
                </c:pt>
              </c:strCache>
            </c:strRef>
          </c:cat>
          <c:val>
            <c:numRef>
              <c:f>Titanic_analyzed!$V$120:$V$123</c:f>
              <c:numCache>
                <c:formatCode>General</c:formatCode>
                <c:ptCount val="3"/>
                <c:pt idx="0">
                  <c:v>270</c:v>
                </c:pt>
                <c:pt idx="1">
                  <c:v>102</c:v>
                </c:pt>
                <c:pt idx="2">
                  <c:v>46</c:v>
                </c:pt>
              </c:numCache>
            </c:numRef>
          </c:val>
          <c:extLst>
            <c:ext xmlns:c16="http://schemas.microsoft.com/office/drawing/2014/chart" uri="{C3380CC4-5D6E-409C-BE32-E72D297353CC}">
              <c16:uniqueId val="{00000000-BEB5-426F-86F8-7B8B2EC543FE}"/>
            </c:ext>
          </c:extLst>
        </c:ser>
        <c:dLbls>
          <c:dLblPos val="outEnd"/>
          <c:showLegendKey val="0"/>
          <c:showVal val="1"/>
          <c:showCatName val="0"/>
          <c:showSerName val="0"/>
          <c:showPercent val="0"/>
          <c:showBubbleSize val="0"/>
        </c:dLbls>
        <c:gapWidth val="150"/>
        <c:axId val="1276708527"/>
        <c:axId val="1276724751"/>
      </c:barChart>
      <c:valAx>
        <c:axId val="1276724751"/>
        <c:scaling>
          <c:orientation val="minMax"/>
        </c:scaling>
        <c:delete val="1"/>
        <c:axPos val="b"/>
        <c:numFmt formatCode="General" sourceLinked="1"/>
        <c:majorTickMark val="out"/>
        <c:minorTickMark val="none"/>
        <c:tickLblPos val="nextTo"/>
        <c:crossAx val="1276708527"/>
        <c:crosses val="autoZero"/>
        <c:crossBetween val="between"/>
      </c:valAx>
      <c:catAx>
        <c:axId val="127670852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7247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[Titanic_Analyzed.xlsm]Titanic_analyzed!PivotTable13</c:name>
    <c:fmtId val="4"/>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Age Category On</a:t>
            </a:r>
            <a:r>
              <a:rPr lang="en-US" sz="1200" b="1" baseline="0"/>
              <a:t> Board</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Titanic_analyzed!$V$53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Titanic_analyzed!$U$54:$U$58</c:f>
              <c:strCache>
                <c:ptCount val="4"/>
                <c:pt idx="0">
                  <c:v>Youth (20-39)</c:v>
                </c:pt>
                <c:pt idx="1">
                  <c:v>Adult (40-59)</c:v>
                </c:pt>
                <c:pt idx="2">
                  <c:v>Teens (0-19)</c:v>
                </c:pt>
                <c:pt idx="3">
                  <c:v>Elders (60-Above)</c:v>
                </c:pt>
              </c:strCache>
            </c:strRef>
          </c:cat>
          <c:val>
            <c:numRef>
              <c:f>Titanic_analyzed!$V$54:$V$58</c:f>
              <c:numCache>
                <c:formatCode>General</c:formatCode>
                <c:ptCount val="4"/>
                <c:pt idx="0">
                  <c:v>275</c:v>
                </c:pt>
                <c:pt idx="1">
                  <c:v>68</c:v>
                </c:pt>
                <c:pt idx="2">
                  <c:v>61</c:v>
                </c:pt>
                <c:pt idx="3">
                  <c:v>14</c:v>
                </c:pt>
              </c:numCache>
            </c:numRef>
          </c:val>
          <c:extLst>
            <c:ext xmlns:c16="http://schemas.microsoft.com/office/drawing/2014/chart" uri="{C3380CC4-5D6E-409C-BE32-E72D297353CC}">
              <c16:uniqueId val="{00000000-D282-43DD-84C4-704AB44DB57C}"/>
            </c:ext>
          </c:extLst>
        </c:ser>
        <c:dLbls>
          <c:showLegendKey val="0"/>
          <c:showVal val="0"/>
          <c:showCatName val="0"/>
          <c:showSerName val="0"/>
          <c:showPercent val="0"/>
          <c:showBubbleSize val="0"/>
        </c:dLbls>
        <c:gapWidth val="219"/>
        <c:overlap val="-27"/>
        <c:axId val="1446361647"/>
        <c:axId val="1446359151"/>
      </c:barChart>
      <c:catAx>
        <c:axId val="144636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359151"/>
        <c:crosses val="autoZero"/>
        <c:auto val="1"/>
        <c:lblAlgn val="ctr"/>
        <c:lblOffset val="100"/>
        <c:noMultiLvlLbl val="0"/>
      </c:catAx>
      <c:valAx>
        <c:axId val="1446359151"/>
        <c:scaling>
          <c:orientation val="minMax"/>
        </c:scaling>
        <c:delete val="1"/>
        <c:axPos val="l"/>
        <c:numFmt formatCode="General" sourceLinked="1"/>
        <c:majorTickMark val="none"/>
        <c:minorTickMark val="none"/>
        <c:tickLblPos val="nextTo"/>
        <c:crossAx val="1446361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[Titanic_Analyzed.xlsm]Calculations!PivotTable8</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816852712688041E-2"/>
          <c:y val="1.7662134683819185E-2"/>
          <c:w val="0.83825819240949306"/>
          <c:h val="0.8416746864975212"/>
        </c:manualLayout>
      </c:layout>
      <c:barChart>
        <c:barDir val="bar"/>
        <c:grouping val="clustered"/>
        <c:varyColors val="0"/>
        <c:ser>
          <c:idx val="0"/>
          <c:order val="0"/>
          <c:tx>
            <c:strRef>
              <c:f>Calculations!$C$10</c:f>
              <c:strCache>
                <c:ptCount val="1"/>
                <c:pt idx="0">
                  <c:v>Count of PassengerId</c:v>
                </c:pt>
              </c:strCache>
            </c:strRef>
          </c:tx>
          <c:spPr>
            <a:solidFill>
              <a:schemeClr val="accent1"/>
            </a:solidFill>
            <a:ln>
              <a:noFill/>
            </a:ln>
            <a:effectLst/>
          </c:spPr>
          <c:invertIfNegative val="0"/>
          <c:cat>
            <c:strRef>
              <c:f>Calculations!$B$11:$B$14</c:f>
              <c:strCache>
                <c:ptCount val="3"/>
                <c:pt idx="0">
                  <c:v>2 Class</c:v>
                </c:pt>
                <c:pt idx="1">
                  <c:v>1 Class</c:v>
                </c:pt>
                <c:pt idx="2">
                  <c:v>3 Class</c:v>
                </c:pt>
              </c:strCache>
            </c:strRef>
          </c:cat>
          <c:val>
            <c:numRef>
              <c:f>Calculations!$C$11:$C$14</c:f>
              <c:numCache>
                <c:formatCode>General</c:formatCode>
                <c:ptCount val="3"/>
                <c:pt idx="0">
                  <c:v>93</c:v>
                </c:pt>
                <c:pt idx="1">
                  <c:v>107</c:v>
                </c:pt>
                <c:pt idx="2">
                  <c:v>218</c:v>
                </c:pt>
              </c:numCache>
            </c:numRef>
          </c:val>
          <c:extLst>
            <c:ext xmlns:c16="http://schemas.microsoft.com/office/drawing/2014/chart" uri="{C3380CC4-5D6E-409C-BE32-E72D297353CC}">
              <c16:uniqueId val="{00000000-CCFF-48DF-896A-BB8C54BF4A9C}"/>
            </c:ext>
          </c:extLst>
        </c:ser>
        <c:ser>
          <c:idx val="1"/>
          <c:order val="1"/>
          <c:tx>
            <c:strRef>
              <c:f>Calculations!$D$10</c:f>
              <c:strCache>
                <c:ptCount val="1"/>
                <c:pt idx="0">
                  <c:v>Sum of PassengerId</c:v>
                </c:pt>
              </c:strCache>
            </c:strRef>
          </c:tx>
          <c:spPr>
            <a:solidFill>
              <a:schemeClr val="accent2"/>
            </a:solidFill>
            <a:ln>
              <a:noFill/>
            </a:ln>
            <a:effectLst/>
          </c:spPr>
          <c:invertIfNegative val="0"/>
          <c:cat>
            <c:strRef>
              <c:f>Calculations!$B$11:$B$14</c:f>
              <c:strCache>
                <c:ptCount val="3"/>
                <c:pt idx="0">
                  <c:v>2 Class</c:v>
                </c:pt>
                <c:pt idx="1">
                  <c:v>1 Class</c:v>
                </c:pt>
                <c:pt idx="2">
                  <c:v>3 Class</c:v>
                </c:pt>
              </c:strCache>
            </c:strRef>
          </c:cat>
          <c:val>
            <c:numRef>
              <c:f>Calculations!$D$11:$D$14</c:f>
              <c:numCache>
                <c:formatCode>0%</c:formatCode>
                <c:ptCount val="3"/>
                <c:pt idx="0">
                  <c:v>0.22601296931147</c:v>
                </c:pt>
                <c:pt idx="1">
                  <c:v>0.25545152377453484</c:v>
                </c:pt>
                <c:pt idx="2">
                  <c:v>0.51853550691399519</c:v>
                </c:pt>
              </c:numCache>
            </c:numRef>
          </c:val>
          <c:extLst>
            <c:ext xmlns:c16="http://schemas.microsoft.com/office/drawing/2014/chart" uri="{C3380CC4-5D6E-409C-BE32-E72D297353CC}">
              <c16:uniqueId val="{00000001-CCFF-48DF-896A-BB8C54BF4A9C}"/>
            </c:ext>
          </c:extLst>
        </c:ser>
        <c:dLbls>
          <c:showLegendKey val="0"/>
          <c:showVal val="0"/>
          <c:showCatName val="0"/>
          <c:showSerName val="0"/>
          <c:showPercent val="0"/>
          <c:showBubbleSize val="0"/>
        </c:dLbls>
        <c:gapWidth val="182"/>
        <c:axId val="1932409680"/>
        <c:axId val="1932422160"/>
      </c:barChart>
      <c:catAx>
        <c:axId val="1932409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422160"/>
        <c:crosses val="autoZero"/>
        <c:auto val="1"/>
        <c:lblAlgn val="ctr"/>
        <c:lblOffset val="100"/>
        <c:noMultiLvlLbl val="0"/>
      </c:catAx>
      <c:valAx>
        <c:axId val="19324221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409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[Titanic_Analyzed.xlsm]Calculations!PivotTable2</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Calculations!$C$143:$C$144</c:f>
              <c:strCache>
                <c:ptCount val="1"/>
                <c:pt idx="0">
                  <c:v>Male</c:v>
                </c:pt>
              </c:strCache>
            </c:strRef>
          </c:tx>
          <c:spPr>
            <a:solidFill>
              <a:schemeClr val="accent1"/>
            </a:solidFill>
            <a:ln>
              <a:noFill/>
            </a:ln>
            <a:effectLst/>
          </c:spPr>
          <c:invertIfNegative val="0"/>
          <c:cat>
            <c:strRef>
              <c:f>Calculations!$B$145:$B$148</c:f>
              <c:strCache>
                <c:ptCount val="3"/>
                <c:pt idx="0">
                  <c:v>3 Class</c:v>
                </c:pt>
                <c:pt idx="1">
                  <c:v>2 Class</c:v>
                </c:pt>
                <c:pt idx="2">
                  <c:v>1 Class</c:v>
                </c:pt>
              </c:strCache>
            </c:strRef>
          </c:cat>
          <c:val>
            <c:numRef>
              <c:f>Calculations!$C$145:$C$148</c:f>
              <c:numCache>
                <c:formatCode>General</c:formatCode>
                <c:ptCount val="3"/>
                <c:pt idx="0">
                  <c:v>146</c:v>
                </c:pt>
                <c:pt idx="1">
                  <c:v>63</c:v>
                </c:pt>
                <c:pt idx="2">
                  <c:v>57</c:v>
                </c:pt>
              </c:numCache>
            </c:numRef>
          </c:val>
          <c:extLst>
            <c:ext xmlns:c16="http://schemas.microsoft.com/office/drawing/2014/chart" uri="{C3380CC4-5D6E-409C-BE32-E72D297353CC}">
              <c16:uniqueId val="{0000000F-0BE5-4421-9091-6BFD4BBC3DBA}"/>
            </c:ext>
          </c:extLst>
        </c:ser>
        <c:ser>
          <c:idx val="1"/>
          <c:order val="1"/>
          <c:tx>
            <c:strRef>
              <c:f>Calculations!$D$143:$D$144</c:f>
              <c:strCache>
                <c:ptCount val="1"/>
                <c:pt idx="0">
                  <c:v>Female</c:v>
                </c:pt>
              </c:strCache>
            </c:strRef>
          </c:tx>
          <c:spPr>
            <a:solidFill>
              <a:schemeClr val="accent2"/>
            </a:solidFill>
            <a:ln>
              <a:noFill/>
            </a:ln>
            <a:effectLst/>
          </c:spPr>
          <c:invertIfNegative val="0"/>
          <c:cat>
            <c:strRef>
              <c:f>Calculations!$B$145:$B$148</c:f>
              <c:strCache>
                <c:ptCount val="3"/>
                <c:pt idx="0">
                  <c:v>3 Class</c:v>
                </c:pt>
                <c:pt idx="1">
                  <c:v>2 Class</c:v>
                </c:pt>
                <c:pt idx="2">
                  <c:v>1 Class</c:v>
                </c:pt>
              </c:strCache>
            </c:strRef>
          </c:cat>
          <c:val>
            <c:numRef>
              <c:f>Calculations!$D$145:$D$148</c:f>
              <c:numCache>
                <c:formatCode>General</c:formatCode>
                <c:ptCount val="3"/>
                <c:pt idx="0">
                  <c:v>72</c:v>
                </c:pt>
                <c:pt idx="1">
                  <c:v>30</c:v>
                </c:pt>
                <c:pt idx="2">
                  <c:v>50</c:v>
                </c:pt>
              </c:numCache>
            </c:numRef>
          </c:val>
          <c:extLst>
            <c:ext xmlns:c16="http://schemas.microsoft.com/office/drawing/2014/chart" uri="{C3380CC4-5D6E-409C-BE32-E72D297353CC}">
              <c16:uniqueId val="{00000010-0BE5-4421-9091-6BFD4BBC3DBA}"/>
            </c:ext>
          </c:extLst>
        </c:ser>
        <c:dLbls>
          <c:showLegendKey val="0"/>
          <c:showVal val="0"/>
          <c:showCatName val="0"/>
          <c:showSerName val="0"/>
          <c:showPercent val="0"/>
          <c:showBubbleSize val="0"/>
        </c:dLbls>
        <c:gapWidth val="219"/>
        <c:overlap val="-27"/>
        <c:axId val="1932427984"/>
        <c:axId val="1932425488"/>
      </c:barChart>
      <c:catAx>
        <c:axId val="193242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425488"/>
        <c:crosses val="autoZero"/>
        <c:auto val="1"/>
        <c:lblAlgn val="ctr"/>
        <c:lblOffset val="100"/>
        <c:noMultiLvlLbl val="0"/>
      </c:catAx>
      <c:valAx>
        <c:axId val="193242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42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[Titanic_Analyzed.xlsm]Titanic_analyzed!PivotTable12</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noFill/>
          </a:ln>
          <a:effectLst>
            <a:outerShdw blurRad="50800" dist="38100" dir="18900000" algn="bl" rotWithShape="0">
              <a:prstClr val="black">
                <a:alpha val="40000"/>
              </a:prstClr>
            </a:outerShdw>
          </a:effectLst>
        </c:spPr>
        <c:marker>
          <c:symbol val="none"/>
        </c:marker>
        <c:dLbl>
          <c:idx val="0"/>
          <c:spPr>
            <a:noFill/>
            <a:ln>
              <a:noFill/>
            </a:ln>
            <a:effectLst/>
          </c:spPr>
          <c:txPr>
            <a:bodyPr rot="0" spcFirstLastPara="1" vertOverflow="clip" horzOverflow="clip" vert="horz" wrap="square" anchor="t"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00B0F0"/>
          </a:solidFill>
          <a:ln w="19050">
            <a:noFill/>
          </a:ln>
          <a:effectLst>
            <a:outerShdw blurRad="50800" dist="38100" dir="18900000" algn="bl" rotWithShape="0">
              <a:prstClr val="black">
                <a:alpha val="40000"/>
              </a:prstClr>
            </a:outerShdw>
          </a:effectLst>
          <a:scene3d>
            <a:camera prst="orthographicFront"/>
            <a:lightRig rig="threePt" dir="t"/>
          </a:scene3d>
          <a:sp3d>
            <a:bevelB prst="angle"/>
          </a:sp3d>
        </c:spPr>
        <c:dLbl>
          <c:idx val="0"/>
          <c:layout>
            <c:manualLayout>
              <c:x val="-6.3598118875328694E-2"/>
              <c:y val="0.14326679400360498"/>
            </c:manualLayout>
          </c:layout>
          <c:spPr>
            <a:noFill/>
            <a:ln>
              <a:noFill/>
            </a:ln>
            <a:effectLst/>
          </c:spPr>
          <c:txPr>
            <a:bodyPr rot="0" spcFirstLastPara="1" vertOverflow="clip" horzOverflow="clip" vert="horz" wrap="square" anchor="t"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4"/>
          </a:solidFill>
          <a:ln w="19050">
            <a:noFill/>
          </a:ln>
          <a:effectLst>
            <a:outerShdw blurRad="50800" dist="38100" dir="18900000" algn="bl" rotWithShape="0">
              <a:prstClr val="black">
                <a:alpha val="40000"/>
              </a:prstClr>
            </a:outerShdw>
          </a:effectLst>
        </c:spPr>
        <c:dLbl>
          <c:idx val="0"/>
          <c:layout>
            <c:manualLayout>
              <c:x val="-4.5829341749347156E-2"/>
              <c:y val="-3.6177797089839064E-2"/>
            </c:manualLayout>
          </c:layout>
          <c:spPr>
            <a:noFill/>
            <a:ln>
              <a:noFill/>
            </a:ln>
            <a:effectLst/>
          </c:spPr>
          <c:txPr>
            <a:bodyPr rot="0" spcFirstLastPara="1" vertOverflow="clip" horzOverflow="clip" vert="horz" wrap="square" anchor="t"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Lucida Sans" panose="020B0602030504020204" pitchFamily="34"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manualLayout>
          <c:layoutTarget val="inner"/>
          <c:xMode val="edge"/>
          <c:yMode val="edge"/>
          <c:x val="0.31802861462031096"/>
          <c:y val="7.8493863122093041E-2"/>
          <c:w val="0.39678088771094738"/>
          <c:h val="0.86410096182085694"/>
        </c:manualLayout>
      </c:layout>
      <c:pieChart>
        <c:varyColors val="1"/>
        <c:ser>
          <c:idx val="0"/>
          <c:order val="0"/>
          <c:tx>
            <c:strRef>
              <c:f>Titanic_analyzed!$V$33</c:f>
              <c:strCache>
                <c:ptCount val="1"/>
                <c:pt idx="0">
                  <c:v>Count of PassengerId</c:v>
                </c:pt>
              </c:strCache>
            </c:strRef>
          </c:tx>
          <c:spPr>
            <a:ln>
              <a:noFill/>
            </a:ln>
            <a:effectLst>
              <a:outerShdw blurRad="50800" dist="38100" dir="18900000" algn="bl" rotWithShape="0">
                <a:prstClr val="black">
                  <a:alpha val="40000"/>
                </a:prstClr>
              </a:outerShdw>
            </a:effectLst>
          </c:spPr>
          <c:dPt>
            <c:idx val="0"/>
            <c:bubble3D val="0"/>
            <c:spPr>
              <a:solidFill>
                <a:srgbClr val="00B0F0"/>
              </a:solidFill>
              <a:ln w="19050">
                <a:noFill/>
              </a:ln>
              <a:effectLst>
                <a:outerShdw blurRad="50800" dist="38100" dir="18900000" algn="bl" rotWithShape="0">
                  <a:prstClr val="black">
                    <a:alpha val="40000"/>
                  </a:prstClr>
                </a:outerShdw>
              </a:effectLst>
              <a:scene3d>
                <a:camera prst="orthographicFront"/>
                <a:lightRig rig="threePt" dir="t"/>
              </a:scene3d>
              <a:sp3d>
                <a:bevelB prst="angle"/>
              </a:sp3d>
            </c:spPr>
            <c:extLst>
              <c:ext xmlns:c16="http://schemas.microsoft.com/office/drawing/2014/chart" uri="{C3380CC4-5D6E-409C-BE32-E72D297353CC}">
                <c16:uniqueId val="{00000001-8FFC-4A8F-9A27-BE8C9E379E0A}"/>
              </c:ext>
            </c:extLst>
          </c:dPt>
          <c:dPt>
            <c:idx val="1"/>
            <c:bubble3D val="0"/>
            <c:spPr>
              <a:solidFill>
                <a:schemeClr val="accent4"/>
              </a:solidFill>
              <a:ln w="19050">
                <a:noFill/>
              </a:ln>
              <a:effectLst>
                <a:outerShdw blurRad="50800" dist="38100" dir="18900000" algn="bl" rotWithShape="0">
                  <a:prstClr val="black">
                    <a:alpha val="40000"/>
                  </a:prstClr>
                </a:outerShdw>
              </a:effectLst>
            </c:spPr>
            <c:extLst>
              <c:ext xmlns:c16="http://schemas.microsoft.com/office/drawing/2014/chart" uri="{C3380CC4-5D6E-409C-BE32-E72D297353CC}">
                <c16:uniqueId val="{00000003-8FFC-4A8F-9A27-BE8C9E379E0A}"/>
              </c:ext>
            </c:extLst>
          </c:dPt>
          <c:dLbls>
            <c:dLbl>
              <c:idx val="0"/>
              <c:layout>
                <c:manualLayout>
                  <c:x val="-6.3598118875328694E-2"/>
                  <c:y val="0.14326679400360498"/>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FFC-4A8F-9A27-BE8C9E379E0A}"/>
                </c:ext>
              </c:extLst>
            </c:dLbl>
            <c:dLbl>
              <c:idx val="1"/>
              <c:layout>
                <c:manualLayout>
                  <c:x val="-4.5829341749347156E-2"/>
                  <c:y val="-3.617779708983906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FC-4A8F-9A27-BE8C9E379E0A}"/>
                </c:ext>
              </c:extLst>
            </c:dLbl>
            <c:spPr>
              <a:noFill/>
              <a:ln>
                <a:noFill/>
              </a:ln>
              <a:effectLst/>
            </c:spPr>
            <c:txPr>
              <a:bodyPr rot="0" spcFirstLastPara="1" vertOverflow="clip" horzOverflow="clip" vert="horz" wrap="square" anchor="t"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Titanic_analyzed!$U$34:$U$36</c:f>
              <c:strCache>
                <c:ptCount val="2"/>
                <c:pt idx="0">
                  <c:v>Male</c:v>
                </c:pt>
                <c:pt idx="1">
                  <c:v>Female</c:v>
                </c:pt>
              </c:strCache>
            </c:strRef>
          </c:cat>
          <c:val>
            <c:numRef>
              <c:f>Titanic_analyzed!$V$34:$V$36</c:f>
              <c:numCache>
                <c:formatCode>General</c:formatCode>
                <c:ptCount val="2"/>
                <c:pt idx="0">
                  <c:v>266</c:v>
                </c:pt>
                <c:pt idx="1">
                  <c:v>152</c:v>
                </c:pt>
              </c:numCache>
            </c:numRef>
          </c:val>
          <c:extLst>
            <c:ext xmlns:c16="http://schemas.microsoft.com/office/drawing/2014/chart" uri="{C3380CC4-5D6E-409C-BE32-E72D297353CC}">
              <c16:uniqueId val="{00000004-8FFC-4A8F-9A27-BE8C9E379E0A}"/>
            </c:ext>
          </c:extLst>
        </c:ser>
        <c:ser>
          <c:idx val="1"/>
          <c:order val="1"/>
          <c:tx>
            <c:strRef>
              <c:f>Titanic_analyzed!$W$33</c:f>
              <c:strCache>
                <c:ptCount val="1"/>
                <c:pt idx="0">
                  <c:v>Sum of PassengerId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8FFC-4A8F-9A27-BE8C9E379E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8FFC-4A8F-9A27-BE8C9E379E0A}"/>
              </c:ext>
            </c:extLst>
          </c:dPt>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Lucida Sans" panose="020B0602030504020204"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Titanic_analyzed!$U$34:$U$36</c:f>
              <c:strCache>
                <c:ptCount val="2"/>
                <c:pt idx="0">
                  <c:v>Male</c:v>
                </c:pt>
                <c:pt idx="1">
                  <c:v>Female</c:v>
                </c:pt>
              </c:strCache>
            </c:strRef>
          </c:cat>
          <c:val>
            <c:numRef>
              <c:f>Titanic_analyzed!$W$34:$W$36</c:f>
              <c:numCache>
                <c:formatCode>0%</c:formatCode>
                <c:ptCount val="2"/>
                <c:pt idx="0">
                  <c:v>0.63758969933196963</c:v>
                </c:pt>
                <c:pt idx="1">
                  <c:v>0.36241030066803043</c:v>
                </c:pt>
              </c:numCache>
            </c:numRef>
          </c:val>
          <c:extLst>
            <c:ext xmlns:c16="http://schemas.microsoft.com/office/drawing/2014/chart" uri="{C3380CC4-5D6E-409C-BE32-E72D297353CC}">
              <c16:uniqueId val="{00000009-8FFC-4A8F-9A27-BE8C9E379E0A}"/>
            </c:ext>
          </c:extLst>
        </c:ser>
        <c:dLbls>
          <c:showLegendKey val="0"/>
          <c:showVal val="0"/>
          <c:showCatName val="0"/>
          <c:showSerName val="0"/>
          <c:showPercent val="0"/>
          <c:showBubbleSize val="0"/>
          <c:showLeaderLines val="1"/>
        </c:dLbls>
        <c:firstSliceAng val="0"/>
      </c:pieChart>
      <c:spPr>
        <a:noFill/>
        <a:ln>
          <a:noFill/>
        </a:ln>
        <a:effectLst>
          <a:outerShdw blurRad="50800" dist="38100" dir="2700000" algn="tl" rotWithShape="0">
            <a:prstClr val="black">
              <a:alpha val="40000"/>
            </a:prstClr>
          </a:outerShdw>
        </a:effectLst>
      </c:spPr>
    </c:plotArea>
    <c:legend>
      <c:legendPos val="r"/>
      <c:layout>
        <c:manualLayout>
          <c:xMode val="edge"/>
          <c:yMode val="edge"/>
          <c:x val="0.74008873989863866"/>
          <c:y val="7.193947272882964E-2"/>
          <c:w val="0.23705445601918909"/>
          <c:h val="0.40928792318916679"/>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Lucida Sans" panose="020B0602030504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b="1">
          <a:solidFill>
            <a:schemeClr val="bg1"/>
          </a:solidFill>
          <a:latin typeface="Lucida Sans" panose="020B06020305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[Titanic_Analyzed.xlsm]Titanic_analyzed!PivotTable13</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bg1"/>
                  </a:solidFill>
                  <a:latin typeface="Lucida Sans Unicode" panose="020B0602030504020204" pitchFamily="34" charset="0"/>
                  <a:ea typeface="+mn-ea"/>
                  <a:cs typeface="Lucida Sans Unicode" panose="020B0602030504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288451550082633E-2"/>
          <c:y val="0.10295735593287167"/>
          <c:w val="0.93026415342159896"/>
          <c:h val="0.63717293671624375"/>
        </c:manualLayout>
      </c:layout>
      <c:barChart>
        <c:barDir val="col"/>
        <c:grouping val="clustered"/>
        <c:varyColors val="0"/>
        <c:ser>
          <c:idx val="0"/>
          <c:order val="0"/>
          <c:tx>
            <c:strRef>
              <c:f>Titanic_analyzed!$V$53</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bg1"/>
                    </a:solidFill>
                    <a:latin typeface="Lucida Sans Unicode" panose="020B0602030504020204" pitchFamily="34" charset="0"/>
                    <a:ea typeface="+mn-ea"/>
                    <a:cs typeface="Lucida Sans Unicode" panose="020B0602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Titanic_analyzed!$U$54:$U$58</c:f>
              <c:strCache>
                <c:ptCount val="4"/>
                <c:pt idx="0">
                  <c:v>Youth (20-39)</c:v>
                </c:pt>
                <c:pt idx="1">
                  <c:v>Adult (40-59)</c:v>
                </c:pt>
                <c:pt idx="2">
                  <c:v>Teens (0-19)</c:v>
                </c:pt>
                <c:pt idx="3">
                  <c:v>Elders (60-Above)</c:v>
                </c:pt>
              </c:strCache>
            </c:strRef>
          </c:cat>
          <c:val>
            <c:numRef>
              <c:f>Titanic_analyzed!$V$54:$V$58</c:f>
              <c:numCache>
                <c:formatCode>General</c:formatCode>
                <c:ptCount val="4"/>
                <c:pt idx="0">
                  <c:v>275</c:v>
                </c:pt>
                <c:pt idx="1">
                  <c:v>68</c:v>
                </c:pt>
                <c:pt idx="2">
                  <c:v>61</c:v>
                </c:pt>
                <c:pt idx="3">
                  <c:v>14</c:v>
                </c:pt>
              </c:numCache>
            </c:numRef>
          </c:val>
          <c:extLst>
            <c:ext xmlns:c16="http://schemas.microsoft.com/office/drawing/2014/chart" uri="{C3380CC4-5D6E-409C-BE32-E72D297353CC}">
              <c16:uniqueId val="{00000000-9ECE-4967-84D4-DB4283AE0958}"/>
            </c:ext>
          </c:extLst>
        </c:ser>
        <c:dLbls>
          <c:showLegendKey val="0"/>
          <c:showVal val="0"/>
          <c:showCatName val="0"/>
          <c:showSerName val="0"/>
          <c:showPercent val="0"/>
          <c:showBubbleSize val="0"/>
        </c:dLbls>
        <c:gapWidth val="219"/>
        <c:overlap val="-27"/>
        <c:axId val="1446361647"/>
        <c:axId val="1446359151"/>
      </c:barChart>
      <c:catAx>
        <c:axId val="144636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Lucida Sans" panose="020B0602030504020204" pitchFamily="34" charset="0"/>
                <a:ea typeface="+mn-ea"/>
                <a:cs typeface="Lucida Sans Unicode" panose="020B0602030504020204" pitchFamily="34" charset="0"/>
              </a:defRPr>
            </a:pPr>
            <a:endParaRPr lang="en-US"/>
          </a:p>
        </c:txPr>
        <c:crossAx val="1446359151"/>
        <c:crosses val="autoZero"/>
        <c:auto val="1"/>
        <c:lblAlgn val="ctr"/>
        <c:lblOffset val="100"/>
        <c:noMultiLvlLbl val="0"/>
      </c:catAx>
      <c:valAx>
        <c:axId val="1446359151"/>
        <c:scaling>
          <c:orientation val="minMax"/>
        </c:scaling>
        <c:delete val="1"/>
        <c:axPos val="l"/>
        <c:numFmt formatCode="General" sourceLinked="1"/>
        <c:majorTickMark val="none"/>
        <c:minorTickMark val="none"/>
        <c:tickLblPos val="nextTo"/>
        <c:crossAx val="144636164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[Titanic_Analyzed.xlsm]Titanic_analyzed!PivotTable21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B0F0"/>
          </a:solidFill>
          <a:ln w="19050">
            <a:noFill/>
          </a:ln>
          <a:effectLst/>
        </c:spPr>
        <c:marker>
          <c:symbol val="none"/>
        </c:marker>
        <c:dLbl>
          <c:idx val="0"/>
          <c:spPr>
            <a:noFill/>
            <a:ln>
              <a:noFill/>
            </a:ln>
            <a:effectLst/>
          </c:spPr>
          <c:txPr>
            <a:bodyPr rot="0" spcFirstLastPara="1" vertOverflow="ellipsis" vert="horz" wrap="square" lIns="38100" tIns="19050" rIns="38100" bIns="19050" anchor="b"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F0"/>
          </a:solidFill>
          <a:ln w="19050">
            <a:noFill/>
          </a:ln>
          <a:effectLst/>
        </c:spPr>
        <c:dLbl>
          <c:idx val="0"/>
          <c:layout>
            <c:manualLayout>
              <c:x val="-4.7513054789660732E-2"/>
              <c:y val="-0.38523711051694681"/>
            </c:manualLayout>
          </c:layout>
          <c:spPr>
            <a:noFill/>
            <a:ln>
              <a:noFill/>
            </a:ln>
            <a:effectLst/>
          </c:spPr>
          <c:txPr>
            <a:bodyPr rot="0" spcFirstLastPara="1" vertOverflow="ellipsis" vert="horz" wrap="square" lIns="38100" tIns="19050" rIns="38100" bIns="19050" anchor="b"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28425088786475"/>
                  <c:h val="0.15982498234747491"/>
                </c:manualLayout>
              </c15:layout>
            </c:ext>
          </c:extLst>
        </c:dLbl>
      </c:pivotFmt>
      <c:pivotFmt>
        <c:idx val="11"/>
        <c:spPr>
          <a:solidFill>
            <a:srgbClr val="00B0F0"/>
          </a:solidFill>
          <a:ln w="19050">
            <a:noFill/>
          </a:ln>
          <a:effectLst/>
        </c:spPr>
        <c:dLbl>
          <c:idx val="0"/>
          <c:layout>
            <c:manualLayout>
              <c:x val="-2.2178230547421598E-2"/>
              <c:y val="-0.26117613186976879"/>
            </c:manualLayout>
          </c:layout>
          <c:spPr>
            <a:noFill/>
            <a:ln>
              <a:noFill/>
            </a:ln>
            <a:effectLst/>
          </c:spPr>
          <c:txPr>
            <a:bodyPr rot="0" spcFirstLastPara="1" vertOverflow="ellipsis" vert="horz" wrap="square" lIns="38100" tIns="19050" rIns="38100" bIns="19050" anchor="b" anchorCtr="0">
              <a:no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379807262444956"/>
                  <c:h val="0.13866290492999825"/>
                </c:manualLayout>
              </c15:layout>
            </c:ext>
          </c:extLst>
        </c:dLbl>
      </c:pivotFmt>
      <c:pivotFmt>
        <c:idx val="12"/>
        <c:spPr>
          <a:solidFill>
            <a:srgbClr val="00B0F0"/>
          </a:solidFill>
          <a:ln w="19050">
            <a:noFill/>
          </a:ln>
          <a:effectLst/>
        </c:spPr>
        <c:dLbl>
          <c:idx val="0"/>
          <c:layout>
            <c:manualLayout>
              <c:x val="-3.5485169385356737E-2"/>
              <c:y val="-0.16794301449764193"/>
            </c:manualLayout>
          </c:layout>
          <c:spPr>
            <a:noFill/>
            <a:ln>
              <a:noFill/>
            </a:ln>
            <a:effectLst/>
          </c:spPr>
          <c:txPr>
            <a:bodyPr rot="0" spcFirstLastPara="1" vertOverflow="ellipsis" vert="horz" wrap="square" lIns="38100" tIns="19050" rIns="38100" bIns="19050" anchor="b"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pivotFmt>
    </c:pivotFmts>
    <c:plotArea>
      <c:layout>
        <c:manualLayout>
          <c:layoutTarget val="inner"/>
          <c:xMode val="edge"/>
          <c:yMode val="edge"/>
          <c:x val="0.13352587298105506"/>
          <c:y val="1.0097083056061072E-2"/>
          <c:w val="0.74082095950386073"/>
          <c:h val="0.83172054413216434"/>
        </c:manualLayout>
      </c:layout>
      <c:areaChart>
        <c:grouping val="standard"/>
        <c:varyColors val="0"/>
        <c:ser>
          <c:idx val="0"/>
          <c:order val="0"/>
          <c:tx>
            <c:strRef>
              <c:f>Titanic_analyzed!$V$119</c:f>
              <c:strCache>
                <c:ptCount val="1"/>
                <c:pt idx="0">
                  <c:v>Total</c:v>
                </c:pt>
              </c:strCache>
            </c:strRef>
          </c:tx>
          <c:spPr>
            <a:solidFill>
              <a:srgbClr val="00B0F0"/>
            </a:solidFill>
            <a:ln w="19050">
              <a:noFill/>
            </a:ln>
            <a:effectLst/>
          </c:spPr>
          <c:dPt>
            <c:idx val="0"/>
            <c:bubble3D val="0"/>
            <c:extLst>
              <c:ext xmlns:c16="http://schemas.microsoft.com/office/drawing/2014/chart" uri="{C3380CC4-5D6E-409C-BE32-E72D297353CC}">
                <c16:uniqueId val="{00000004-C2F5-4D7C-A50A-0985A094ED7B}"/>
              </c:ext>
            </c:extLst>
          </c:dPt>
          <c:dPt>
            <c:idx val="1"/>
            <c:bubble3D val="0"/>
            <c:extLst>
              <c:ext xmlns:c16="http://schemas.microsoft.com/office/drawing/2014/chart" uri="{C3380CC4-5D6E-409C-BE32-E72D297353CC}">
                <c16:uniqueId val="{00000003-C2F5-4D7C-A50A-0985A094ED7B}"/>
              </c:ext>
            </c:extLst>
          </c:dPt>
          <c:dPt>
            <c:idx val="2"/>
            <c:bubble3D val="0"/>
            <c:extLst>
              <c:ext xmlns:c16="http://schemas.microsoft.com/office/drawing/2014/chart" uri="{C3380CC4-5D6E-409C-BE32-E72D297353CC}">
                <c16:uniqueId val="{00000002-C2F5-4D7C-A50A-0985A094ED7B}"/>
              </c:ext>
            </c:extLst>
          </c:dPt>
          <c:dLbls>
            <c:dLbl>
              <c:idx val="0"/>
              <c:layout>
                <c:manualLayout>
                  <c:x val="-4.7513054789660732E-2"/>
                  <c:y val="-0.38523711051694681"/>
                </c:manualLayout>
              </c:layout>
              <c:showLegendKey val="0"/>
              <c:showVal val="1"/>
              <c:showCatName val="0"/>
              <c:showSerName val="0"/>
              <c:showPercent val="0"/>
              <c:showBubbleSize val="0"/>
              <c:extLst>
                <c:ext xmlns:c15="http://schemas.microsoft.com/office/drawing/2012/chart" uri="{CE6537A1-D6FC-4f65-9D91-7224C49458BB}">
                  <c15:layout>
                    <c:manualLayout>
                      <c:w val="0.10328425088786475"/>
                      <c:h val="0.15982498234747491"/>
                    </c:manualLayout>
                  </c15:layout>
                </c:ext>
                <c:ext xmlns:c16="http://schemas.microsoft.com/office/drawing/2014/chart" uri="{C3380CC4-5D6E-409C-BE32-E72D297353CC}">
                  <c16:uniqueId val="{00000004-C2F5-4D7C-A50A-0985A094ED7B}"/>
                </c:ext>
              </c:extLst>
            </c:dLbl>
            <c:dLbl>
              <c:idx val="1"/>
              <c:layout>
                <c:manualLayout>
                  <c:x val="-2.2178230547421598E-2"/>
                  <c:y val="-0.26117613186976879"/>
                </c:manualLayout>
              </c:layout>
              <c:spPr>
                <a:noFill/>
                <a:ln>
                  <a:noFill/>
                </a:ln>
                <a:effectLst/>
              </c:spPr>
              <c:txPr>
                <a:bodyPr rot="0" spcFirstLastPara="1" vertOverflow="ellipsis" vert="horz" wrap="square" lIns="38100" tIns="19050" rIns="38100" bIns="19050" anchor="b" anchorCtr="0">
                  <a:no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379807262444956"/>
                      <c:h val="0.13866290492999825"/>
                    </c:manualLayout>
                  </c15:layout>
                </c:ext>
                <c:ext xmlns:c16="http://schemas.microsoft.com/office/drawing/2014/chart" uri="{C3380CC4-5D6E-409C-BE32-E72D297353CC}">
                  <c16:uniqueId val="{00000003-C2F5-4D7C-A50A-0985A094ED7B}"/>
                </c:ext>
              </c:extLst>
            </c:dLbl>
            <c:dLbl>
              <c:idx val="2"/>
              <c:layout>
                <c:manualLayout>
                  <c:x val="-3.5485169385356737E-2"/>
                  <c:y val="-0.167943014497641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5-4D7C-A50A-0985A094ED7B}"/>
                </c:ext>
              </c:extLst>
            </c:dLbl>
            <c:spPr>
              <a:noFill/>
              <a:ln>
                <a:noFill/>
              </a:ln>
              <a:effectLst/>
            </c:spPr>
            <c:txPr>
              <a:bodyPr rot="0" spcFirstLastPara="1" vertOverflow="ellipsis" vert="horz" wrap="square" lIns="38100" tIns="19050" rIns="38100" bIns="19050" anchor="b" anchorCtr="0">
                <a:spAutoFit/>
              </a:bodyPr>
              <a:lstStyle/>
              <a:p>
                <a:pPr>
                  <a:defRPr sz="10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Titanic_analyzed!$U$120:$U$123</c:f>
              <c:strCache>
                <c:ptCount val="3"/>
                <c:pt idx="0">
                  <c:v>Southampton</c:v>
                </c:pt>
                <c:pt idx="1">
                  <c:v>Cherbourg</c:v>
                </c:pt>
                <c:pt idx="2">
                  <c:v>Queenstown</c:v>
                </c:pt>
              </c:strCache>
            </c:strRef>
          </c:cat>
          <c:val>
            <c:numRef>
              <c:f>Titanic_analyzed!$V$120:$V$123</c:f>
              <c:numCache>
                <c:formatCode>General</c:formatCode>
                <c:ptCount val="3"/>
                <c:pt idx="0">
                  <c:v>270</c:v>
                </c:pt>
                <c:pt idx="1">
                  <c:v>102</c:v>
                </c:pt>
                <c:pt idx="2">
                  <c:v>46</c:v>
                </c:pt>
              </c:numCache>
            </c:numRef>
          </c:val>
          <c:extLst>
            <c:ext xmlns:c16="http://schemas.microsoft.com/office/drawing/2014/chart" uri="{C3380CC4-5D6E-409C-BE32-E72D297353CC}">
              <c16:uniqueId val="{00000000-C2F5-4D7C-A50A-0985A094ED7B}"/>
            </c:ext>
          </c:extLst>
        </c:ser>
        <c:dLbls>
          <c:showLegendKey val="0"/>
          <c:showVal val="1"/>
          <c:showCatName val="0"/>
          <c:showSerName val="0"/>
          <c:showPercent val="0"/>
          <c:showBubbleSize val="0"/>
        </c:dLbls>
        <c:axId val="1276708527"/>
        <c:axId val="1276724751"/>
      </c:areaChart>
      <c:valAx>
        <c:axId val="1276724751"/>
        <c:scaling>
          <c:orientation val="minMax"/>
        </c:scaling>
        <c:delete val="1"/>
        <c:axPos val="l"/>
        <c:numFmt formatCode="General" sourceLinked="1"/>
        <c:majorTickMark val="out"/>
        <c:minorTickMark val="none"/>
        <c:tickLblPos val="nextTo"/>
        <c:crossAx val="1276708527"/>
        <c:crosses val="autoZero"/>
        <c:crossBetween val="midCat"/>
      </c:valAx>
      <c:catAx>
        <c:axId val="12767085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Lucida Sans" panose="020B0602030504020204" pitchFamily="34" charset="0"/>
                <a:ea typeface="+mn-ea"/>
                <a:cs typeface="Lucida Sans Unicode" panose="020B0602030504020204" pitchFamily="34" charset="0"/>
              </a:defRPr>
            </a:pPr>
            <a:endParaRPr lang="en-US"/>
          </a:p>
        </c:txPr>
        <c:crossAx val="1276724751"/>
        <c:crosses val="autoZero"/>
        <c:auto val="1"/>
        <c:lblAlgn val="ctr"/>
        <c:lblOffset val="100"/>
        <c:noMultiLvlLbl val="0"/>
      </c:catAx>
      <c:spPr>
        <a:noFill/>
        <a:ln>
          <a:noFill/>
        </a:ln>
        <a:effectLst>
          <a:outerShdw blurRad="50800" dist="38100" dir="2700000" algn="tl" rotWithShape="0">
            <a:prstClr val="black">
              <a:alpha val="4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[Titanic_Analyzed.xlsm]Titanic_analyzed!PivotTable14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B0F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Lucida Sans" panose="020B06020305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458161116426309"/>
          <c:y val="4.3994312679016677E-2"/>
          <c:w val="0.82666011608822909"/>
          <c:h val="0.75067110762262113"/>
        </c:manualLayout>
      </c:layout>
      <c:barChart>
        <c:barDir val="bar"/>
        <c:grouping val="clustered"/>
        <c:varyColors val="0"/>
        <c:ser>
          <c:idx val="0"/>
          <c:order val="0"/>
          <c:tx>
            <c:strRef>
              <c:f>Titanic_analyzed!$V$76</c:f>
              <c:strCache>
                <c:ptCount val="1"/>
                <c:pt idx="0">
                  <c:v>Total</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Titanic_analyzed!$U$77:$U$83</c:f>
              <c:strCache>
                <c:ptCount val="6"/>
                <c:pt idx="0">
                  <c:v>5</c:v>
                </c:pt>
                <c:pt idx="1">
                  <c:v>8</c:v>
                </c:pt>
                <c:pt idx="2">
                  <c:v>3</c:v>
                </c:pt>
                <c:pt idx="3">
                  <c:v>4</c:v>
                </c:pt>
                <c:pt idx="4">
                  <c:v>2</c:v>
                </c:pt>
                <c:pt idx="5">
                  <c:v>1</c:v>
                </c:pt>
              </c:strCache>
            </c:strRef>
          </c:cat>
          <c:val>
            <c:numRef>
              <c:f>Titanic_analyzed!$V$77:$V$83</c:f>
              <c:numCache>
                <c:formatCode>General</c:formatCode>
                <c:ptCount val="6"/>
                <c:pt idx="0">
                  <c:v>1</c:v>
                </c:pt>
                <c:pt idx="1">
                  <c:v>2</c:v>
                </c:pt>
                <c:pt idx="2">
                  <c:v>4</c:v>
                </c:pt>
                <c:pt idx="3">
                  <c:v>4</c:v>
                </c:pt>
                <c:pt idx="4">
                  <c:v>14</c:v>
                </c:pt>
                <c:pt idx="5">
                  <c:v>110</c:v>
                </c:pt>
              </c:numCache>
            </c:numRef>
          </c:val>
          <c:extLst>
            <c:ext xmlns:c16="http://schemas.microsoft.com/office/drawing/2014/chart" uri="{C3380CC4-5D6E-409C-BE32-E72D297353CC}">
              <c16:uniqueId val="{00000000-FA07-412C-ACE3-95B4D27BD502}"/>
            </c:ext>
          </c:extLst>
        </c:ser>
        <c:dLbls>
          <c:showLegendKey val="0"/>
          <c:showVal val="0"/>
          <c:showCatName val="0"/>
          <c:showSerName val="0"/>
          <c:showPercent val="0"/>
          <c:showBubbleSize val="0"/>
        </c:dLbls>
        <c:gapWidth val="33"/>
        <c:overlap val="-27"/>
        <c:axId val="1446359567"/>
        <c:axId val="1446359983"/>
      </c:barChart>
      <c:catAx>
        <c:axId val="144635956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crossAx val="1446359983"/>
        <c:crosses val="autoZero"/>
        <c:auto val="1"/>
        <c:lblAlgn val="ctr"/>
        <c:lblOffset val="100"/>
        <c:noMultiLvlLbl val="0"/>
      </c:catAx>
      <c:valAx>
        <c:axId val="144635998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crossAx val="144635956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latin typeface="Lucida Sans" panose="020B06020305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[Titanic_Analyzed.xlsm]Calculations!PivotTable2</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ucida Sans" panose="020B06020305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35806945894303"/>
          <c:y val="0.21485284240269592"/>
          <c:w val="0.73742125984251972"/>
          <c:h val="0.62240656997519805"/>
        </c:manualLayout>
      </c:layout>
      <c:barChart>
        <c:barDir val="col"/>
        <c:grouping val="clustered"/>
        <c:varyColors val="0"/>
        <c:ser>
          <c:idx val="0"/>
          <c:order val="0"/>
          <c:tx>
            <c:strRef>
              <c:f>Calculations!$C$143:$C$144</c:f>
              <c:strCache>
                <c:ptCount val="1"/>
                <c:pt idx="0">
                  <c:v>Male</c:v>
                </c:pt>
              </c:strCache>
            </c:strRef>
          </c:tx>
          <c:spPr>
            <a:solidFill>
              <a:srgbClr val="00B0F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Calculations!$B$145:$B$148</c:f>
              <c:strCache>
                <c:ptCount val="3"/>
                <c:pt idx="0">
                  <c:v>3 Class</c:v>
                </c:pt>
                <c:pt idx="1">
                  <c:v>2 Class</c:v>
                </c:pt>
                <c:pt idx="2">
                  <c:v>1 Class</c:v>
                </c:pt>
              </c:strCache>
            </c:strRef>
          </c:cat>
          <c:val>
            <c:numRef>
              <c:f>Calculations!$C$145:$C$148</c:f>
              <c:numCache>
                <c:formatCode>General</c:formatCode>
                <c:ptCount val="3"/>
                <c:pt idx="0">
                  <c:v>146</c:v>
                </c:pt>
                <c:pt idx="1">
                  <c:v>63</c:v>
                </c:pt>
                <c:pt idx="2">
                  <c:v>57</c:v>
                </c:pt>
              </c:numCache>
            </c:numRef>
          </c:val>
          <c:extLst>
            <c:ext xmlns:c16="http://schemas.microsoft.com/office/drawing/2014/chart" uri="{C3380CC4-5D6E-409C-BE32-E72D297353CC}">
              <c16:uniqueId val="{0000000F-52C4-422B-9BBD-248C40032631}"/>
            </c:ext>
          </c:extLst>
        </c:ser>
        <c:ser>
          <c:idx val="1"/>
          <c:order val="1"/>
          <c:tx>
            <c:strRef>
              <c:f>Calculations!$D$143:$D$144</c:f>
              <c:strCache>
                <c:ptCount val="1"/>
                <c:pt idx="0">
                  <c:v>Female</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Lucida Sans" panose="020B06020305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Calculations!$B$145:$B$148</c:f>
              <c:strCache>
                <c:ptCount val="3"/>
                <c:pt idx="0">
                  <c:v>3 Class</c:v>
                </c:pt>
                <c:pt idx="1">
                  <c:v>2 Class</c:v>
                </c:pt>
                <c:pt idx="2">
                  <c:v>1 Class</c:v>
                </c:pt>
              </c:strCache>
            </c:strRef>
          </c:cat>
          <c:val>
            <c:numRef>
              <c:f>Calculations!$D$145:$D$148</c:f>
              <c:numCache>
                <c:formatCode>General</c:formatCode>
                <c:ptCount val="3"/>
                <c:pt idx="0">
                  <c:v>72</c:v>
                </c:pt>
                <c:pt idx="1">
                  <c:v>30</c:v>
                </c:pt>
                <c:pt idx="2">
                  <c:v>50</c:v>
                </c:pt>
              </c:numCache>
            </c:numRef>
          </c:val>
          <c:extLst>
            <c:ext xmlns:c16="http://schemas.microsoft.com/office/drawing/2014/chart" uri="{C3380CC4-5D6E-409C-BE32-E72D297353CC}">
              <c16:uniqueId val="{00000010-52C4-422B-9BBD-248C40032631}"/>
            </c:ext>
          </c:extLst>
        </c:ser>
        <c:dLbls>
          <c:dLblPos val="outEnd"/>
          <c:showLegendKey val="0"/>
          <c:showVal val="1"/>
          <c:showCatName val="0"/>
          <c:showSerName val="0"/>
          <c:showPercent val="0"/>
          <c:showBubbleSize val="0"/>
        </c:dLbls>
        <c:gapWidth val="219"/>
        <c:overlap val="-27"/>
        <c:axId val="1932427984"/>
        <c:axId val="1932425488"/>
      </c:barChart>
      <c:catAx>
        <c:axId val="193242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Lucida Sans" panose="020B0602030504020204" pitchFamily="34" charset="0"/>
                <a:ea typeface="+mn-ea"/>
                <a:cs typeface="+mn-cs"/>
              </a:defRPr>
            </a:pPr>
            <a:endParaRPr lang="en-US"/>
          </a:p>
        </c:txPr>
        <c:crossAx val="1932425488"/>
        <c:crosses val="autoZero"/>
        <c:auto val="1"/>
        <c:lblAlgn val="ctr"/>
        <c:lblOffset val="100"/>
        <c:noMultiLvlLbl val="0"/>
      </c:catAx>
      <c:valAx>
        <c:axId val="19324254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Lucida Sans" panose="020B0602030504020204" pitchFamily="34" charset="0"/>
                <a:ea typeface="+mn-ea"/>
                <a:cs typeface="+mn-cs"/>
              </a:defRPr>
            </a:pPr>
            <a:endParaRPr lang="en-US"/>
          </a:p>
        </c:txPr>
        <c:crossAx val="1932427984"/>
        <c:crosses val="autoZero"/>
        <c:crossBetween val="between"/>
      </c:valAx>
      <c:spPr>
        <a:noFill/>
        <a:ln>
          <a:noFill/>
        </a:ln>
        <a:effectLst/>
      </c:spPr>
    </c:plotArea>
    <c:legend>
      <c:legendPos val="r"/>
      <c:layout>
        <c:manualLayout>
          <c:xMode val="edge"/>
          <c:yMode val="edge"/>
          <c:x val="0.82148844080606076"/>
          <c:y val="3.1882180534527287E-2"/>
          <c:w val="0.1785115591939393"/>
          <c:h val="0.332070827699557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Lucida Sans" panose="020B0602030504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Lucida Sans" panose="020B06020305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7" Type="http://schemas.microsoft.com/office/2007/relationships/hdphoto" Target="../media/hdphoto1.wdp"/><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2.png"/><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20</xdr:col>
      <xdr:colOff>28575</xdr:colOff>
      <xdr:row>14</xdr:row>
      <xdr:rowOff>95249</xdr:rowOff>
    </xdr:from>
    <xdr:to>
      <xdr:col>22</xdr:col>
      <xdr:colOff>1571625</xdr:colOff>
      <xdr:row>25</xdr:row>
      <xdr:rowOff>85725</xdr:rowOff>
    </xdr:to>
    <xdr:graphicFrame macro="">
      <xdr:nvGraphicFramePr>
        <xdr:cNvPr id="2" name="Chart 1">
          <a:extLst>
            <a:ext uri="{FF2B5EF4-FFF2-40B4-BE49-F238E27FC236}">
              <a16:creationId xmlns:a16="http://schemas.microsoft.com/office/drawing/2014/main" id="{62A70530-3166-7884-8565-AFD6DDD507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204787</xdr:colOff>
      <xdr:row>36</xdr:row>
      <xdr:rowOff>109537</xdr:rowOff>
    </xdr:from>
    <xdr:to>
      <xdr:col>22</xdr:col>
      <xdr:colOff>638175</xdr:colOff>
      <xdr:row>45</xdr:row>
      <xdr:rowOff>57150</xdr:rowOff>
    </xdr:to>
    <xdr:graphicFrame macro="">
      <xdr:nvGraphicFramePr>
        <xdr:cNvPr id="3" name="Chart 2">
          <a:extLst>
            <a:ext uri="{FF2B5EF4-FFF2-40B4-BE49-F238E27FC236}">
              <a16:creationId xmlns:a16="http://schemas.microsoft.com/office/drawing/2014/main" id="{E6659D43-A64D-F313-4114-2DA896BF8A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395287</xdr:colOff>
      <xdr:row>58</xdr:row>
      <xdr:rowOff>80962</xdr:rowOff>
    </xdr:from>
    <xdr:to>
      <xdr:col>22</xdr:col>
      <xdr:colOff>704850</xdr:colOff>
      <xdr:row>67</xdr:row>
      <xdr:rowOff>38100</xdr:rowOff>
    </xdr:to>
    <xdr:graphicFrame macro="">
      <xdr:nvGraphicFramePr>
        <xdr:cNvPr id="4" name="Chart 3">
          <a:extLst>
            <a:ext uri="{FF2B5EF4-FFF2-40B4-BE49-F238E27FC236}">
              <a16:creationId xmlns:a16="http://schemas.microsoft.com/office/drawing/2014/main" id="{60938E1D-25F0-DDE5-3A5C-A75BF9380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542924</xdr:colOff>
      <xdr:row>83</xdr:row>
      <xdr:rowOff>61912</xdr:rowOff>
    </xdr:from>
    <xdr:to>
      <xdr:col>22</xdr:col>
      <xdr:colOff>714374</xdr:colOff>
      <xdr:row>93</xdr:row>
      <xdr:rowOff>19049</xdr:rowOff>
    </xdr:to>
    <xdr:graphicFrame macro="">
      <xdr:nvGraphicFramePr>
        <xdr:cNvPr id="5" name="Chart 4">
          <a:extLst>
            <a:ext uri="{FF2B5EF4-FFF2-40B4-BE49-F238E27FC236}">
              <a16:creationId xmlns:a16="http://schemas.microsoft.com/office/drawing/2014/main" id="{EBCE25EE-5D91-DD1C-BCAA-8887F44E10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61911</xdr:colOff>
      <xdr:row>123</xdr:row>
      <xdr:rowOff>80961</xdr:rowOff>
    </xdr:from>
    <xdr:to>
      <xdr:col>22</xdr:col>
      <xdr:colOff>1447800</xdr:colOff>
      <xdr:row>135</xdr:row>
      <xdr:rowOff>76200</xdr:rowOff>
    </xdr:to>
    <xdr:graphicFrame macro="">
      <xdr:nvGraphicFramePr>
        <xdr:cNvPr id="6" name="Chart 5">
          <a:extLst>
            <a:ext uri="{FF2B5EF4-FFF2-40B4-BE49-F238E27FC236}">
              <a16:creationId xmlns:a16="http://schemas.microsoft.com/office/drawing/2014/main" id="{892702FD-CE69-D1B2-40B4-45F39448FA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357187</xdr:colOff>
      <xdr:row>148</xdr:row>
      <xdr:rowOff>157162</xdr:rowOff>
    </xdr:from>
    <xdr:to>
      <xdr:col>24</xdr:col>
      <xdr:colOff>138112</xdr:colOff>
      <xdr:row>164</xdr:row>
      <xdr:rowOff>4762</xdr:rowOff>
    </xdr:to>
    <xdr:graphicFrame macro="">
      <xdr:nvGraphicFramePr>
        <xdr:cNvPr id="8" name="Chart 7">
          <a:extLst>
            <a:ext uri="{FF2B5EF4-FFF2-40B4-BE49-F238E27FC236}">
              <a16:creationId xmlns:a16="http://schemas.microsoft.com/office/drawing/2014/main" id="{5DC3D69C-8B83-81F1-15FB-F21C9B249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204787</xdr:colOff>
      <xdr:row>36</xdr:row>
      <xdr:rowOff>109537</xdr:rowOff>
    </xdr:from>
    <xdr:to>
      <xdr:col>3</xdr:col>
      <xdr:colOff>638175</xdr:colOff>
      <xdr:row>45</xdr:row>
      <xdr:rowOff>57150</xdr:rowOff>
    </xdr:to>
    <xdr:graphicFrame macro="">
      <xdr:nvGraphicFramePr>
        <xdr:cNvPr id="3" name="Chart 2">
          <a:extLst>
            <a:ext uri="{FF2B5EF4-FFF2-40B4-BE49-F238E27FC236}">
              <a16:creationId xmlns:a16="http://schemas.microsoft.com/office/drawing/2014/main" id="{1572E4CD-74AC-434E-AB18-BA4F3F311D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95249</xdr:colOff>
      <xdr:row>83</xdr:row>
      <xdr:rowOff>157162</xdr:rowOff>
    </xdr:from>
    <xdr:to>
      <xdr:col>4</xdr:col>
      <xdr:colOff>628649</xdr:colOff>
      <xdr:row>93</xdr:row>
      <xdr:rowOff>114299</xdr:rowOff>
    </xdr:to>
    <xdr:graphicFrame macro="">
      <xdr:nvGraphicFramePr>
        <xdr:cNvPr id="5" name="Chart 4">
          <a:extLst>
            <a:ext uri="{FF2B5EF4-FFF2-40B4-BE49-F238E27FC236}">
              <a16:creationId xmlns:a16="http://schemas.microsoft.com/office/drawing/2014/main" id="{FB23CEFA-246A-40DE-8353-4F0298C10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61911</xdr:colOff>
      <xdr:row>123</xdr:row>
      <xdr:rowOff>80961</xdr:rowOff>
    </xdr:from>
    <xdr:to>
      <xdr:col>3</xdr:col>
      <xdr:colOff>1447800</xdr:colOff>
      <xdr:row>135</xdr:row>
      <xdr:rowOff>76200</xdr:rowOff>
    </xdr:to>
    <xdr:graphicFrame macro="">
      <xdr:nvGraphicFramePr>
        <xdr:cNvPr id="6" name="Chart 5">
          <a:extLst>
            <a:ext uri="{FF2B5EF4-FFF2-40B4-BE49-F238E27FC236}">
              <a16:creationId xmlns:a16="http://schemas.microsoft.com/office/drawing/2014/main" id="{8D7C4F65-0B3C-44DD-9842-1BB03ECE8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1228725</xdr:colOff>
      <xdr:row>58</xdr:row>
      <xdr:rowOff>161925</xdr:rowOff>
    </xdr:from>
    <xdr:to>
      <xdr:col>6</xdr:col>
      <xdr:colOff>514350</xdr:colOff>
      <xdr:row>70</xdr:row>
      <xdr:rowOff>38100</xdr:rowOff>
    </xdr:to>
    <xdr:graphicFrame macro="">
      <xdr:nvGraphicFramePr>
        <xdr:cNvPr id="8" name="Chart 7">
          <a:extLst>
            <a:ext uri="{FF2B5EF4-FFF2-40B4-BE49-F238E27FC236}">
              <a16:creationId xmlns:a16="http://schemas.microsoft.com/office/drawing/2014/main" id="{AA20ADCB-8BCA-4527-8FF0-2CE48DEA82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314325</xdr:colOff>
      <xdr:row>14</xdr:row>
      <xdr:rowOff>71437</xdr:rowOff>
    </xdr:from>
    <xdr:to>
      <xdr:col>4</xdr:col>
      <xdr:colOff>781050</xdr:colOff>
      <xdr:row>23</xdr:row>
      <xdr:rowOff>85725</xdr:rowOff>
    </xdr:to>
    <xdr:graphicFrame macro="">
      <xdr:nvGraphicFramePr>
        <xdr:cNvPr id="4" name="Chart 3">
          <a:extLst>
            <a:ext uri="{FF2B5EF4-FFF2-40B4-BE49-F238E27FC236}">
              <a16:creationId xmlns:a16="http://schemas.microsoft.com/office/drawing/2014/main" id="{9DAE5B3F-B41E-6DA5-3D0F-6D3F110AB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733425</xdr:colOff>
      <xdr:row>147</xdr:row>
      <xdr:rowOff>90487</xdr:rowOff>
    </xdr:from>
    <xdr:to>
      <xdr:col>4</xdr:col>
      <xdr:colOff>781050</xdr:colOff>
      <xdr:row>162</xdr:row>
      <xdr:rowOff>119062</xdr:rowOff>
    </xdr:to>
    <xdr:graphicFrame macro="">
      <xdr:nvGraphicFramePr>
        <xdr:cNvPr id="9" name="Chart 8">
          <a:extLst>
            <a:ext uri="{FF2B5EF4-FFF2-40B4-BE49-F238E27FC236}">
              <a16:creationId xmlns:a16="http://schemas.microsoft.com/office/drawing/2014/main" id="{FA77BF89-3310-2C10-DA71-C72FF26E96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20981</xdr:colOff>
      <xdr:row>4</xdr:row>
      <xdr:rowOff>94203</xdr:rowOff>
    </xdr:from>
    <xdr:to>
      <xdr:col>6</xdr:col>
      <xdr:colOff>5267</xdr:colOff>
      <xdr:row>6</xdr:row>
      <xdr:rowOff>53730</xdr:rowOff>
    </xdr:to>
    <xdr:sp macro="" textlink="Calculations!E183">
      <xdr:nvSpPr>
        <xdr:cNvPr id="7" name="Rectangle 6">
          <a:extLst>
            <a:ext uri="{FF2B5EF4-FFF2-40B4-BE49-F238E27FC236}">
              <a16:creationId xmlns:a16="http://schemas.microsoft.com/office/drawing/2014/main" id="{A030DB3D-38FE-124D-9FA5-B37AD94FA75A}"/>
            </a:ext>
          </a:extLst>
        </xdr:cNvPr>
        <xdr:cNvSpPr/>
      </xdr:nvSpPr>
      <xdr:spPr>
        <a:xfrm>
          <a:off x="2030651" y="805961"/>
          <a:ext cx="1512473" cy="346807"/>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F3A0D86-7688-40E9-AE89-628B14301C14}" type="TxLink">
            <a:rPr lang="en-US" sz="2000" b="0" i="0" u="none" strike="noStrike">
              <a:solidFill>
                <a:schemeClr val="bg1"/>
              </a:solidFill>
              <a:latin typeface="Lucida Sans Unicode"/>
              <a:ea typeface="+mn-ea"/>
              <a:cs typeface="Lucida Sans Unicode"/>
            </a:rPr>
            <a:pPr marL="0" indent="0" algn="ctr"/>
            <a:t>152</a:t>
          </a:fld>
          <a:endParaRPr lang="en-US" sz="2000" b="0" i="0" u="none" strike="noStrike">
            <a:solidFill>
              <a:schemeClr val="bg1"/>
            </a:solidFill>
            <a:latin typeface="Lucida Sans Unicode"/>
            <a:ea typeface="+mn-ea"/>
            <a:cs typeface="Lucida Sans Unicode"/>
          </a:endParaRPr>
        </a:p>
      </xdr:txBody>
    </xdr:sp>
    <xdr:clientData/>
  </xdr:twoCellAnchor>
  <xdr:twoCellAnchor>
    <xdr:from>
      <xdr:col>4</xdr:col>
      <xdr:colOff>30622</xdr:colOff>
      <xdr:row>8</xdr:row>
      <xdr:rowOff>32206</xdr:rowOff>
    </xdr:from>
    <xdr:to>
      <xdr:col>6</xdr:col>
      <xdr:colOff>17001</xdr:colOff>
      <xdr:row>10</xdr:row>
      <xdr:rowOff>41870</xdr:rowOff>
    </xdr:to>
    <xdr:sp macro="" textlink="Calculations!D112">
      <xdr:nvSpPr>
        <xdr:cNvPr id="8" name="Rectangle 7">
          <a:extLst>
            <a:ext uri="{FF2B5EF4-FFF2-40B4-BE49-F238E27FC236}">
              <a16:creationId xmlns:a16="http://schemas.microsoft.com/office/drawing/2014/main" id="{31480AB1-9C25-E459-9597-67DD30FBAAFC}"/>
            </a:ext>
          </a:extLst>
        </xdr:cNvPr>
        <xdr:cNvSpPr/>
      </xdr:nvSpPr>
      <xdr:spPr>
        <a:xfrm>
          <a:off x="2040292" y="1487124"/>
          <a:ext cx="1514566" cy="365543"/>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690BFFD-090E-4B3D-93E4-D2472AE4EF68}" type="TxLink">
            <a:rPr lang="en-US" sz="2000" b="0" i="0" u="none" strike="noStrike">
              <a:solidFill>
                <a:schemeClr val="bg1"/>
              </a:solidFill>
              <a:latin typeface="Lucida Sans Unicode"/>
              <a:ea typeface="+mn-ea"/>
              <a:cs typeface="Lucida Sans Unicode"/>
            </a:rPr>
            <a:pPr marL="0" indent="0" algn="ctr"/>
            <a:t> £512 </a:t>
          </a:fld>
          <a:endParaRPr lang="en-GB" sz="2000" b="0" i="0" u="none" strike="noStrike">
            <a:solidFill>
              <a:schemeClr val="bg1"/>
            </a:solidFill>
            <a:latin typeface="Lucida Sans Unicode"/>
            <a:ea typeface="+mn-ea"/>
            <a:cs typeface="Lucida Sans Unicode"/>
          </a:endParaRPr>
        </a:p>
      </xdr:txBody>
    </xdr:sp>
    <xdr:clientData/>
  </xdr:twoCellAnchor>
  <xdr:twoCellAnchor>
    <xdr:from>
      <xdr:col>10</xdr:col>
      <xdr:colOff>21306</xdr:colOff>
      <xdr:row>24</xdr:row>
      <xdr:rowOff>94204</xdr:rowOff>
    </xdr:from>
    <xdr:to>
      <xdr:col>12</xdr:col>
      <xdr:colOff>8208</xdr:colOff>
      <xdr:row>26</xdr:row>
      <xdr:rowOff>62803</xdr:rowOff>
    </xdr:to>
    <xdr:sp macro="" textlink="Calculations!D174">
      <xdr:nvSpPr>
        <xdr:cNvPr id="10" name="Rectangle 9">
          <a:extLst>
            <a:ext uri="{FF2B5EF4-FFF2-40B4-BE49-F238E27FC236}">
              <a16:creationId xmlns:a16="http://schemas.microsoft.com/office/drawing/2014/main" id="{3E7562CB-D896-5D2A-2289-D3DFE3C4844A}"/>
            </a:ext>
          </a:extLst>
        </xdr:cNvPr>
        <xdr:cNvSpPr/>
      </xdr:nvSpPr>
      <xdr:spPr>
        <a:xfrm>
          <a:off x="5568833" y="4396155"/>
          <a:ext cx="1515089" cy="324478"/>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3B2FA06-B2DA-4E51-AEF3-D7F2CAAD0C3C}" type="TxLink">
            <a:rPr lang="en-US" sz="1600" b="0" i="0" u="none" strike="noStrike">
              <a:solidFill>
                <a:schemeClr val="bg1"/>
              </a:solidFill>
              <a:latin typeface="Lucida Sans Unicode"/>
              <a:ea typeface="+mn-ea"/>
              <a:cs typeface="Lucida Sans Unicode"/>
            </a:rPr>
            <a:pPr marL="0" indent="0" algn="ctr"/>
            <a:t>0.2</a:t>
          </a:fld>
          <a:endParaRPr lang="en-GB" sz="1600" b="0" i="0" u="none" strike="noStrike">
            <a:solidFill>
              <a:schemeClr val="bg1"/>
            </a:solidFill>
            <a:latin typeface="Lucida Sans Unicode"/>
            <a:ea typeface="+mn-ea"/>
            <a:cs typeface="Lucida Sans Unicode"/>
          </a:endParaRPr>
        </a:p>
      </xdr:txBody>
    </xdr:sp>
    <xdr:clientData/>
  </xdr:twoCellAnchor>
  <xdr:twoCellAnchor>
    <xdr:from>
      <xdr:col>1</xdr:col>
      <xdr:colOff>0</xdr:colOff>
      <xdr:row>8</xdr:row>
      <xdr:rowOff>41868</xdr:rowOff>
    </xdr:from>
    <xdr:to>
      <xdr:col>2</xdr:col>
      <xdr:colOff>748379</xdr:colOff>
      <xdr:row>10</xdr:row>
      <xdr:rowOff>41868</xdr:rowOff>
    </xdr:to>
    <xdr:sp macro="" textlink="Calculations!B112">
      <xdr:nvSpPr>
        <xdr:cNvPr id="12" name="Rectangle 11">
          <a:extLst>
            <a:ext uri="{FF2B5EF4-FFF2-40B4-BE49-F238E27FC236}">
              <a16:creationId xmlns:a16="http://schemas.microsoft.com/office/drawing/2014/main" id="{B5779F7D-B6FB-42AC-93F1-501BA1602A8B}"/>
            </a:ext>
          </a:extLst>
        </xdr:cNvPr>
        <xdr:cNvSpPr/>
      </xdr:nvSpPr>
      <xdr:spPr>
        <a:xfrm>
          <a:off x="240742" y="1496786"/>
          <a:ext cx="1512472" cy="355879"/>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46EA7C-515C-4E8B-BBDC-0BA52A58DD1E}" type="TxLink">
            <a:rPr lang="en-US" sz="2000" b="0" i="0" u="none" strike="noStrike">
              <a:solidFill>
                <a:schemeClr val="bg1"/>
              </a:solidFill>
              <a:latin typeface="Lucida Sans Unicode"/>
              <a:ea typeface="+mn-ea"/>
              <a:cs typeface="Lucida Sans Unicode"/>
            </a:rPr>
            <a:pPr marL="0" indent="0" algn="ctr"/>
            <a:t> £14,892 </a:t>
          </a:fld>
          <a:endParaRPr lang="en-GB" sz="2000" b="0" i="0" u="none" strike="noStrike">
            <a:solidFill>
              <a:schemeClr val="bg1"/>
            </a:solidFill>
            <a:latin typeface="Lucida Sans Unicode"/>
            <a:ea typeface="+mn-ea"/>
            <a:cs typeface="Lucida Sans Unicode"/>
          </a:endParaRPr>
        </a:p>
      </xdr:txBody>
    </xdr:sp>
    <xdr:clientData/>
  </xdr:twoCellAnchor>
  <xdr:twoCellAnchor>
    <xdr:from>
      <xdr:col>7</xdr:col>
      <xdr:colOff>43182</xdr:colOff>
      <xdr:row>8</xdr:row>
      <xdr:rowOff>20673</xdr:rowOff>
    </xdr:from>
    <xdr:to>
      <xdr:col>9</xdr:col>
      <xdr:colOff>10467</xdr:colOff>
      <xdr:row>10</xdr:row>
      <xdr:rowOff>31402</xdr:rowOff>
    </xdr:to>
    <xdr:sp macro="" textlink="Calculations!E112">
      <xdr:nvSpPr>
        <xdr:cNvPr id="13" name="Rectangle 12">
          <a:extLst>
            <a:ext uri="{FF2B5EF4-FFF2-40B4-BE49-F238E27FC236}">
              <a16:creationId xmlns:a16="http://schemas.microsoft.com/office/drawing/2014/main" id="{F0907644-CF4F-070F-3278-1DB0D1566B0D}"/>
            </a:ext>
          </a:extLst>
        </xdr:cNvPr>
        <xdr:cNvSpPr/>
      </xdr:nvSpPr>
      <xdr:spPr>
        <a:xfrm>
          <a:off x="3821781" y="1475591"/>
          <a:ext cx="1495472" cy="366608"/>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8A2EA-C097-43DA-8316-93169B0C61A5}" type="TxLink">
            <a:rPr lang="en-US" sz="2000" b="0" i="0" u="none" strike="noStrike">
              <a:solidFill>
                <a:schemeClr val="bg1"/>
              </a:solidFill>
              <a:latin typeface="Lucida Sans Unicode"/>
              <a:ea typeface="+mn-ea"/>
              <a:cs typeface="Lucida Sans Unicode"/>
            </a:rPr>
            <a:pPr marL="0" indent="0" algn="ctr"/>
            <a:t> £3 </a:t>
          </a:fld>
          <a:endParaRPr lang="en-GB" sz="2000" b="0" i="0" u="none" strike="noStrike">
            <a:solidFill>
              <a:schemeClr val="bg1"/>
            </a:solidFill>
            <a:latin typeface="Lucida Sans Unicode"/>
            <a:ea typeface="+mn-ea"/>
            <a:cs typeface="Lucida Sans Unicode"/>
          </a:endParaRPr>
        </a:p>
      </xdr:txBody>
    </xdr:sp>
    <xdr:clientData/>
  </xdr:twoCellAnchor>
  <xdr:twoCellAnchor>
    <xdr:from>
      <xdr:col>10</xdr:col>
      <xdr:colOff>41869</xdr:colOff>
      <xdr:row>8</xdr:row>
      <xdr:rowOff>20795</xdr:rowOff>
    </xdr:from>
    <xdr:to>
      <xdr:col>12</xdr:col>
      <xdr:colOff>10467</xdr:colOff>
      <xdr:row>10</xdr:row>
      <xdr:rowOff>20934</xdr:rowOff>
    </xdr:to>
    <xdr:sp macro="" textlink="Calculations!C112">
      <xdr:nvSpPr>
        <xdr:cNvPr id="15" name="Rectangle 14">
          <a:extLst>
            <a:ext uri="{FF2B5EF4-FFF2-40B4-BE49-F238E27FC236}">
              <a16:creationId xmlns:a16="http://schemas.microsoft.com/office/drawing/2014/main" id="{D525C185-E1FF-2F12-1491-3E6F7A2C0A57}"/>
            </a:ext>
          </a:extLst>
        </xdr:cNvPr>
        <xdr:cNvSpPr/>
      </xdr:nvSpPr>
      <xdr:spPr>
        <a:xfrm>
          <a:off x="5589396" y="1475713"/>
          <a:ext cx="1496785" cy="356018"/>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AE10D2A-0D7B-422C-A80F-AB965DB317CA}" type="TxLink">
            <a:rPr lang="en-US" sz="2000" b="0" i="0" u="none" strike="noStrike">
              <a:solidFill>
                <a:schemeClr val="bg1"/>
              </a:solidFill>
              <a:latin typeface="Lucida Sans Unicode"/>
              <a:ea typeface="+mn-ea"/>
              <a:cs typeface="Lucida Sans Unicode"/>
            </a:rPr>
            <a:pPr marL="0" indent="0" algn="ctr"/>
            <a:t> £36 </a:t>
          </a:fld>
          <a:endParaRPr lang="en-GB" sz="2000" b="0" i="0" u="none" strike="noStrike">
            <a:solidFill>
              <a:schemeClr val="bg1"/>
            </a:solidFill>
            <a:latin typeface="Lucida Sans Unicode"/>
            <a:ea typeface="+mn-ea"/>
            <a:cs typeface="Lucida Sans Unicode"/>
          </a:endParaRPr>
        </a:p>
      </xdr:txBody>
    </xdr:sp>
    <xdr:clientData/>
  </xdr:twoCellAnchor>
  <xdr:twoCellAnchor>
    <xdr:from>
      <xdr:col>13</xdr:col>
      <xdr:colOff>41868</xdr:colOff>
      <xdr:row>20</xdr:row>
      <xdr:rowOff>31863</xdr:rowOff>
    </xdr:from>
    <xdr:to>
      <xdr:col>17</xdr:col>
      <xdr:colOff>167472</xdr:colOff>
      <xdr:row>26</xdr:row>
      <xdr:rowOff>63614</xdr:rowOff>
    </xdr:to>
    <xdr:sp macro="" textlink="">
      <xdr:nvSpPr>
        <xdr:cNvPr id="16" name="Rectangle 15">
          <a:extLst>
            <a:ext uri="{FF2B5EF4-FFF2-40B4-BE49-F238E27FC236}">
              <a16:creationId xmlns:a16="http://schemas.microsoft.com/office/drawing/2014/main" id="{A03355D4-4D21-15DD-680B-84905D385121}"/>
            </a:ext>
          </a:extLst>
        </xdr:cNvPr>
        <xdr:cNvSpPr/>
      </xdr:nvSpPr>
      <xdr:spPr>
        <a:xfrm>
          <a:off x="7358324" y="3622055"/>
          <a:ext cx="3181978" cy="1099389"/>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GB" sz="2000" b="0" i="0" u="none" strike="noStrike">
            <a:solidFill>
              <a:schemeClr val="bg1"/>
            </a:solidFill>
            <a:latin typeface="Lucida Sans Unicode"/>
            <a:ea typeface="+mn-ea"/>
            <a:cs typeface="Lucida Sans Unicode"/>
          </a:endParaRPr>
        </a:p>
      </xdr:txBody>
    </xdr:sp>
    <xdr:clientData/>
  </xdr:twoCellAnchor>
  <xdr:twoCellAnchor>
    <xdr:from>
      <xdr:col>7</xdr:col>
      <xdr:colOff>1</xdr:colOff>
      <xdr:row>12</xdr:row>
      <xdr:rowOff>21401</xdr:rowOff>
    </xdr:from>
    <xdr:to>
      <xdr:col>12</xdr:col>
      <xdr:colOff>10467</xdr:colOff>
      <xdr:row>19</xdr:row>
      <xdr:rowOff>104670</xdr:rowOff>
    </xdr:to>
    <xdr:sp macro="" textlink="">
      <xdr:nvSpPr>
        <xdr:cNvPr id="17" name="Rectangle 16">
          <a:extLst>
            <a:ext uri="{FF2B5EF4-FFF2-40B4-BE49-F238E27FC236}">
              <a16:creationId xmlns:a16="http://schemas.microsoft.com/office/drawing/2014/main" id="{A0A5864E-1BE2-FEED-19DF-A641069EB7B4}"/>
            </a:ext>
          </a:extLst>
        </xdr:cNvPr>
        <xdr:cNvSpPr/>
      </xdr:nvSpPr>
      <xdr:spPr>
        <a:xfrm>
          <a:off x="3778600" y="2188077"/>
          <a:ext cx="3307581" cy="1328846"/>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GB" sz="2000" b="0" i="0" u="none" strike="noStrike">
            <a:solidFill>
              <a:schemeClr val="bg1"/>
            </a:solidFill>
            <a:latin typeface="Lucida Sans Unicode"/>
            <a:ea typeface="+mn-ea"/>
            <a:cs typeface="Lucida Sans Unicode"/>
          </a:endParaRPr>
        </a:p>
      </xdr:txBody>
    </xdr:sp>
    <xdr:clientData/>
  </xdr:twoCellAnchor>
  <xdr:twoCellAnchor>
    <xdr:from>
      <xdr:col>13</xdr:col>
      <xdr:colOff>32431</xdr:colOff>
      <xdr:row>0</xdr:row>
      <xdr:rowOff>146538</xdr:rowOff>
    </xdr:from>
    <xdr:to>
      <xdr:col>17</xdr:col>
      <xdr:colOff>136071</xdr:colOff>
      <xdr:row>8</xdr:row>
      <xdr:rowOff>136769</xdr:rowOff>
    </xdr:to>
    <xdr:sp macro="" textlink="">
      <xdr:nvSpPr>
        <xdr:cNvPr id="18" name="Rectangle 17">
          <a:extLst>
            <a:ext uri="{FF2B5EF4-FFF2-40B4-BE49-F238E27FC236}">
              <a16:creationId xmlns:a16="http://schemas.microsoft.com/office/drawing/2014/main" id="{8848F659-CF93-4A80-4131-61A589001172}"/>
            </a:ext>
          </a:extLst>
        </xdr:cNvPr>
        <xdr:cNvSpPr/>
      </xdr:nvSpPr>
      <xdr:spPr>
        <a:xfrm>
          <a:off x="7348887" y="146538"/>
          <a:ext cx="3160014" cy="1445149"/>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GB" sz="2000" b="0" i="0" u="none" strike="noStrike">
            <a:solidFill>
              <a:schemeClr val="bg1"/>
            </a:solidFill>
            <a:latin typeface="Lucida Sans Unicode"/>
            <a:ea typeface="+mn-ea"/>
            <a:cs typeface="Lucida Sans Unicode"/>
          </a:endParaRPr>
        </a:p>
      </xdr:txBody>
    </xdr:sp>
    <xdr:clientData/>
  </xdr:twoCellAnchor>
  <xdr:twoCellAnchor>
    <xdr:from>
      <xdr:col>13</xdr:col>
      <xdr:colOff>36549</xdr:colOff>
      <xdr:row>10</xdr:row>
      <xdr:rowOff>140305</xdr:rowOff>
    </xdr:from>
    <xdr:to>
      <xdr:col>17</xdr:col>
      <xdr:colOff>167472</xdr:colOff>
      <xdr:row>18</xdr:row>
      <xdr:rowOff>11049</xdr:rowOff>
    </xdr:to>
    <xdr:sp macro="" textlink="">
      <xdr:nvSpPr>
        <xdr:cNvPr id="19" name="Rectangle 18">
          <a:extLst>
            <a:ext uri="{FF2B5EF4-FFF2-40B4-BE49-F238E27FC236}">
              <a16:creationId xmlns:a16="http://schemas.microsoft.com/office/drawing/2014/main" id="{F7732841-4F65-4A8F-EC0B-F0106CA1467E}"/>
            </a:ext>
          </a:extLst>
        </xdr:cNvPr>
        <xdr:cNvSpPr/>
      </xdr:nvSpPr>
      <xdr:spPr>
        <a:xfrm>
          <a:off x="7353005" y="1951102"/>
          <a:ext cx="3187297" cy="1294260"/>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GB" sz="2000" b="0" i="0" u="none" strike="noStrike">
            <a:solidFill>
              <a:schemeClr val="bg1"/>
            </a:solidFill>
            <a:latin typeface="Lucida Sans Unicode"/>
            <a:ea typeface="+mn-ea"/>
            <a:cs typeface="Lucida Sans Unicode"/>
          </a:endParaRPr>
        </a:p>
      </xdr:txBody>
    </xdr:sp>
    <xdr:clientData/>
  </xdr:twoCellAnchor>
  <xdr:twoCellAnchor>
    <xdr:from>
      <xdr:col>1</xdr:col>
      <xdr:colOff>1</xdr:colOff>
      <xdr:row>4</xdr:row>
      <xdr:rowOff>83738</xdr:rowOff>
    </xdr:from>
    <xdr:to>
      <xdr:col>2</xdr:col>
      <xdr:colOff>758847</xdr:colOff>
      <xdr:row>6</xdr:row>
      <xdr:rowOff>52337</xdr:rowOff>
    </xdr:to>
    <xdr:sp macro="" textlink="Titanic_analyzed!U6">
      <xdr:nvSpPr>
        <xdr:cNvPr id="23" name="TextBox 22">
          <a:extLst>
            <a:ext uri="{FF2B5EF4-FFF2-40B4-BE49-F238E27FC236}">
              <a16:creationId xmlns:a16="http://schemas.microsoft.com/office/drawing/2014/main" id="{B493D108-B738-70A4-A541-39BB718FEB67}"/>
            </a:ext>
          </a:extLst>
        </xdr:cNvPr>
        <xdr:cNvSpPr txBox="1"/>
      </xdr:nvSpPr>
      <xdr:spPr>
        <a:xfrm>
          <a:off x="240743" y="795496"/>
          <a:ext cx="1522939" cy="355879"/>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E0B3EAE-9452-4226-B925-85B748CA8861}" type="TxLink">
            <a:rPr lang="en-US" sz="2000" b="0" i="0" u="none" strike="noStrike">
              <a:solidFill>
                <a:schemeClr val="bg1"/>
              </a:solidFill>
              <a:latin typeface="Lucida Sans Unicode"/>
              <a:ea typeface="+mn-ea"/>
              <a:cs typeface="Lucida Sans Unicode"/>
            </a:rPr>
            <a:pPr marL="0" indent="0" algn="ctr"/>
            <a:t>418</a:t>
          </a:fld>
          <a:endParaRPr lang="en-GB" sz="2000" b="0" i="0" u="none" strike="noStrike">
            <a:solidFill>
              <a:schemeClr val="bg1"/>
            </a:solidFill>
            <a:latin typeface="Lucida Sans Unicode"/>
            <a:ea typeface="+mn-ea"/>
            <a:cs typeface="Lucida Sans Unicode"/>
          </a:endParaRPr>
        </a:p>
      </xdr:txBody>
    </xdr:sp>
    <xdr:clientData/>
  </xdr:twoCellAnchor>
  <xdr:twoCellAnchor>
    <xdr:from>
      <xdr:col>13</xdr:col>
      <xdr:colOff>52335</xdr:colOff>
      <xdr:row>0</xdr:row>
      <xdr:rowOff>115138</xdr:rowOff>
    </xdr:from>
    <xdr:to>
      <xdr:col>17</xdr:col>
      <xdr:colOff>73269</xdr:colOff>
      <xdr:row>8</xdr:row>
      <xdr:rowOff>73269</xdr:rowOff>
    </xdr:to>
    <xdr:graphicFrame macro="">
      <xdr:nvGraphicFramePr>
        <xdr:cNvPr id="4" name="Chart 3">
          <a:extLst>
            <a:ext uri="{FF2B5EF4-FFF2-40B4-BE49-F238E27FC236}">
              <a16:creationId xmlns:a16="http://schemas.microsoft.com/office/drawing/2014/main" id="{23044891-7472-4F04-9C75-C9D44731E2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230275</xdr:colOff>
      <xdr:row>12</xdr:row>
      <xdr:rowOff>62801</xdr:rowOff>
    </xdr:from>
    <xdr:to>
      <xdr:col>11</xdr:col>
      <xdr:colOff>701291</xdr:colOff>
      <xdr:row>19</xdr:row>
      <xdr:rowOff>136071</xdr:rowOff>
    </xdr:to>
    <xdr:graphicFrame macro="">
      <xdr:nvGraphicFramePr>
        <xdr:cNvPr id="5" name="Chart 4">
          <a:extLst>
            <a:ext uri="{FF2B5EF4-FFF2-40B4-BE49-F238E27FC236}">
              <a16:creationId xmlns:a16="http://schemas.microsoft.com/office/drawing/2014/main" id="{BD62F437-42BF-4917-8D96-C672DBD999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20935</xdr:colOff>
      <xdr:row>11</xdr:row>
      <xdr:rowOff>0</xdr:rowOff>
    </xdr:from>
    <xdr:to>
      <xdr:col>17</xdr:col>
      <xdr:colOff>177941</xdr:colOff>
      <xdr:row>18</xdr:row>
      <xdr:rowOff>12212</xdr:rowOff>
    </xdr:to>
    <xdr:graphicFrame macro="">
      <xdr:nvGraphicFramePr>
        <xdr:cNvPr id="6" name="Chart 5">
          <a:extLst>
            <a:ext uri="{FF2B5EF4-FFF2-40B4-BE49-F238E27FC236}">
              <a16:creationId xmlns:a16="http://schemas.microsoft.com/office/drawing/2014/main" id="{90EEAE0C-52B7-4675-96A3-3E584ADD96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20934</xdr:colOff>
      <xdr:row>12</xdr:row>
      <xdr:rowOff>10467</xdr:rowOff>
    </xdr:from>
    <xdr:to>
      <xdr:col>6</xdr:col>
      <xdr:colOff>25402</xdr:colOff>
      <xdr:row>19</xdr:row>
      <xdr:rowOff>106066</xdr:rowOff>
    </xdr:to>
    <xdr:sp macro="" textlink="">
      <xdr:nvSpPr>
        <xdr:cNvPr id="11" name="Rectangle 10">
          <a:extLst>
            <a:ext uri="{FF2B5EF4-FFF2-40B4-BE49-F238E27FC236}">
              <a16:creationId xmlns:a16="http://schemas.microsoft.com/office/drawing/2014/main" id="{5AB1A651-9BF5-C098-A715-496DCD3ADFA5}"/>
            </a:ext>
          </a:extLst>
        </xdr:cNvPr>
        <xdr:cNvSpPr/>
      </xdr:nvSpPr>
      <xdr:spPr>
        <a:xfrm>
          <a:off x="261676" y="2177143"/>
          <a:ext cx="3301583" cy="1341176"/>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GB" sz="2000" b="0" i="0" u="none" strike="noStrike">
            <a:solidFill>
              <a:schemeClr val="bg1"/>
            </a:solidFill>
            <a:latin typeface="Lucida Sans Unicode"/>
            <a:ea typeface="+mn-ea"/>
            <a:cs typeface="Lucida Sans Unicode"/>
          </a:endParaRPr>
        </a:p>
      </xdr:txBody>
    </xdr:sp>
    <xdr:clientData/>
  </xdr:twoCellAnchor>
  <xdr:twoCellAnchor>
    <xdr:from>
      <xdr:col>1</xdr:col>
      <xdr:colOff>17967</xdr:colOff>
      <xdr:row>21</xdr:row>
      <xdr:rowOff>10467</xdr:rowOff>
    </xdr:from>
    <xdr:to>
      <xdr:col>6</xdr:col>
      <xdr:colOff>31401</xdr:colOff>
      <xdr:row>26</xdr:row>
      <xdr:rowOff>57032</xdr:rowOff>
    </xdr:to>
    <xdr:sp macro="" textlink="">
      <xdr:nvSpPr>
        <xdr:cNvPr id="20" name="Rectangle 19">
          <a:extLst>
            <a:ext uri="{FF2B5EF4-FFF2-40B4-BE49-F238E27FC236}">
              <a16:creationId xmlns:a16="http://schemas.microsoft.com/office/drawing/2014/main" id="{B055D7CB-85B4-CB7D-4C47-19C19B9A58AD}"/>
            </a:ext>
          </a:extLst>
        </xdr:cNvPr>
        <xdr:cNvSpPr/>
      </xdr:nvSpPr>
      <xdr:spPr>
        <a:xfrm>
          <a:off x="258709" y="3778599"/>
          <a:ext cx="3310549" cy="936263"/>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GB" sz="2000" b="0" i="0" u="none" strike="noStrike">
            <a:solidFill>
              <a:schemeClr val="bg1"/>
            </a:solidFill>
            <a:latin typeface="Lucida Sans Unicode"/>
            <a:ea typeface="+mn-ea"/>
            <a:cs typeface="Lucida Sans Unicode"/>
          </a:endParaRPr>
        </a:p>
      </xdr:txBody>
    </xdr:sp>
    <xdr:clientData/>
  </xdr:twoCellAnchor>
  <xdr:twoCellAnchor>
    <xdr:from>
      <xdr:col>13</xdr:col>
      <xdr:colOff>31402</xdr:colOff>
      <xdr:row>20</xdr:row>
      <xdr:rowOff>20934</xdr:rowOff>
    </xdr:from>
    <xdr:to>
      <xdr:col>17</xdr:col>
      <xdr:colOff>136072</xdr:colOff>
      <xdr:row>26</xdr:row>
      <xdr:rowOff>83737</xdr:rowOff>
    </xdr:to>
    <xdr:graphicFrame macro="">
      <xdr:nvGraphicFramePr>
        <xdr:cNvPr id="21" name="Chart 20">
          <a:extLst>
            <a:ext uri="{FF2B5EF4-FFF2-40B4-BE49-F238E27FC236}">
              <a16:creationId xmlns:a16="http://schemas.microsoft.com/office/drawing/2014/main" id="{02362762-87C5-4690-9B56-FE7E9AA05E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31402</xdr:colOff>
      <xdr:row>12</xdr:row>
      <xdr:rowOff>115137</xdr:rowOff>
    </xdr:from>
    <xdr:to>
      <xdr:col>6</xdr:col>
      <xdr:colOff>10467</xdr:colOff>
      <xdr:row>19</xdr:row>
      <xdr:rowOff>104670</xdr:rowOff>
    </xdr:to>
    <xdr:graphicFrame macro="">
      <xdr:nvGraphicFramePr>
        <xdr:cNvPr id="25" name="Chart 24">
          <a:extLst>
            <a:ext uri="{FF2B5EF4-FFF2-40B4-BE49-F238E27FC236}">
              <a16:creationId xmlns:a16="http://schemas.microsoft.com/office/drawing/2014/main" id="{2BF6E5A4-4F5C-4792-89DD-EC8A0E7C3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230275</xdr:colOff>
      <xdr:row>0</xdr:row>
      <xdr:rowOff>125604</xdr:rowOff>
    </xdr:from>
    <xdr:to>
      <xdr:col>9</xdr:col>
      <xdr:colOff>0</xdr:colOff>
      <xdr:row>2</xdr:row>
      <xdr:rowOff>104670</xdr:rowOff>
    </xdr:to>
    <xdr:sp macro="" textlink="">
      <xdr:nvSpPr>
        <xdr:cNvPr id="26" name="TextBox 25">
          <a:extLst>
            <a:ext uri="{FF2B5EF4-FFF2-40B4-BE49-F238E27FC236}">
              <a16:creationId xmlns:a16="http://schemas.microsoft.com/office/drawing/2014/main" id="{10C0B179-B3B9-0642-2B78-9AF478900B2B}"/>
            </a:ext>
          </a:extLst>
        </xdr:cNvPr>
        <xdr:cNvSpPr txBox="1"/>
      </xdr:nvSpPr>
      <xdr:spPr>
        <a:xfrm>
          <a:off x="230275" y="125604"/>
          <a:ext cx="5076511" cy="334945"/>
        </a:xfrm>
        <a:prstGeom prst="rect">
          <a:avLst/>
        </a:prstGeom>
        <a:solidFill>
          <a:schemeClr val="bg2">
            <a:lumMod val="10000"/>
          </a:schemeClr>
        </a:solidFill>
        <a:ln w="9525" cmpd="sng">
          <a:solidFill>
            <a:srgbClr val="0070C0"/>
          </a:solidFill>
        </a:ln>
        <a:effectLst>
          <a:innerShdw blurRad="63500" dist="50800" dir="13500000">
            <a:schemeClr val="tx1">
              <a:alpha val="64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1">
              <a:solidFill>
                <a:srgbClr val="0070C0"/>
              </a:solidFill>
              <a:latin typeface="Gill Sans Ultra Bold" panose="020B0A02020104020203" pitchFamily="34" charset="0"/>
            </a:rPr>
            <a:t> </a:t>
          </a:r>
          <a:r>
            <a:rPr lang="en-GB" sz="2400" b="1">
              <a:solidFill>
                <a:srgbClr val="0070C0"/>
              </a:solidFill>
              <a:latin typeface="Lucida Sans" panose="020B0602030504020204" pitchFamily="34" charset="0"/>
            </a:rPr>
            <a:t> </a:t>
          </a:r>
          <a:r>
            <a:rPr lang="en-GB" sz="2800" b="1">
              <a:ln>
                <a:solidFill>
                  <a:srgbClr val="0070C0"/>
                </a:solidFill>
              </a:ln>
              <a:solidFill>
                <a:srgbClr val="00B0F0"/>
              </a:solidFill>
              <a:effectLst>
                <a:outerShdw blurRad="50800" dist="38100" dir="2700000" algn="tl" rotWithShape="0">
                  <a:schemeClr val="accent4">
                    <a:lumMod val="50000"/>
                    <a:alpha val="40000"/>
                  </a:schemeClr>
                </a:outerShdw>
              </a:effectLst>
              <a:latin typeface="Franklin Gothic Medium" panose="020B0603020102020204" pitchFamily="34" charset="0"/>
            </a:rPr>
            <a:t>TITANIC</a:t>
          </a:r>
          <a:r>
            <a:rPr lang="en-GB" sz="2800" b="1" baseline="0">
              <a:ln>
                <a:solidFill>
                  <a:srgbClr val="0070C0"/>
                </a:solidFill>
              </a:ln>
              <a:solidFill>
                <a:srgbClr val="00B0F0"/>
              </a:solidFill>
              <a:effectLst>
                <a:outerShdw blurRad="50800" dist="38100" dir="2700000" algn="tl" rotWithShape="0">
                  <a:schemeClr val="accent4">
                    <a:lumMod val="50000"/>
                    <a:alpha val="40000"/>
                  </a:schemeClr>
                </a:outerShdw>
              </a:effectLst>
              <a:latin typeface="Franklin Gothic Medium" panose="020B0603020102020204" pitchFamily="34" charset="0"/>
            </a:rPr>
            <a:t>  SHIP 1912</a:t>
          </a:r>
        </a:p>
      </xdr:txBody>
    </xdr:sp>
    <xdr:clientData/>
  </xdr:twoCellAnchor>
  <xdr:twoCellAnchor>
    <xdr:from>
      <xdr:col>10</xdr:col>
      <xdr:colOff>16376</xdr:colOff>
      <xdr:row>21</xdr:row>
      <xdr:rowOff>52335</xdr:rowOff>
    </xdr:from>
    <xdr:to>
      <xdr:col>12</xdr:col>
      <xdr:colOff>662</xdr:colOff>
      <xdr:row>23</xdr:row>
      <xdr:rowOff>10467</xdr:rowOff>
    </xdr:to>
    <xdr:sp macro="" textlink="Calculations!E174">
      <xdr:nvSpPr>
        <xdr:cNvPr id="27" name="Rectangle 26">
          <a:extLst>
            <a:ext uri="{FF2B5EF4-FFF2-40B4-BE49-F238E27FC236}">
              <a16:creationId xmlns:a16="http://schemas.microsoft.com/office/drawing/2014/main" id="{F699B7A6-56C7-38E7-0B06-49EE302DBCE3}"/>
            </a:ext>
          </a:extLst>
        </xdr:cNvPr>
        <xdr:cNvSpPr/>
      </xdr:nvSpPr>
      <xdr:spPr>
        <a:xfrm>
          <a:off x="5563903" y="3820467"/>
          <a:ext cx="1512473" cy="314011"/>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6A253E-EFF1-4925-A66C-7F895B99D961}" type="TxLink">
            <a:rPr lang="en-US" sz="1600" b="0" i="0" u="none" strike="noStrike">
              <a:solidFill>
                <a:schemeClr val="bg1"/>
              </a:solidFill>
              <a:latin typeface="Lucida Sans Unicode"/>
              <a:ea typeface="+mn-ea"/>
              <a:cs typeface="Lucida Sans Unicode"/>
            </a:rPr>
            <a:pPr marL="0" indent="0" algn="ctr"/>
            <a:t>30</a:t>
          </a:fld>
          <a:endParaRPr lang="en-GB" sz="1600" b="0" i="0" u="none" strike="noStrike">
            <a:solidFill>
              <a:schemeClr val="bg1"/>
            </a:solidFill>
            <a:latin typeface="Lucida Sans Unicode"/>
            <a:ea typeface="+mn-ea"/>
            <a:cs typeface="Lucida Sans Unicode"/>
          </a:endParaRPr>
        </a:p>
      </xdr:txBody>
    </xdr:sp>
    <xdr:clientData/>
  </xdr:twoCellAnchor>
  <xdr:twoCellAnchor>
    <xdr:from>
      <xdr:col>7</xdr:col>
      <xdr:colOff>43170</xdr:colOff>
      <xdr:row>4</xdr:row>
      <xdr:rowOff>105927</xdr:rowOff>
    </xdr:from>
    <xdr:to>
      <xdr:col>9</xdr:col>
      <xdr:colOff>0</xdr:colOff>
      <xdr:row>6</xdr:row>
      <xdr:rowOff>65454</xdr:rowOff>
    </xdr:to>
    <xdr:sp macro="" textlink="Calculations!A186">
      <xdr:nvSpPr>
        <xdr:cNvPr id="28" name="Rectangle 27">
          <a:extLst>
            <a:ext uri="{FF2B5EF4-FFF2-40B4-BE49-F238E27FC236}">
              <a16:creationId xmlns:a16="http://schemas.microsoft.com/office/drawing/2014/main" id="{BB3C2720-150E-26C0-9AD6-E7D96DB06D88}"/>
            </a:ext>
          </a:extLst>
        </xdr:cNvPr>
        <xdr:cNvSpPr/>
      </xdr:nvSpPr>
      <xdr:spPr>
        <a:xfrm>
          <a:off x="3821769" y="817685"/>
          <a:ext cx="1485017" cy="346807"/>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2E25B9C-2D36-4FFB-AA0A-2E45F4771939}" type="TxLink">
            <a:rPr lang="en-US" sz="2000" b="0" i="0" u="none" strike="noStrike">
              <a:solidFill>
                <a:schemeClr val="bg1"/>
              </a:solidFill>
              <a:latin typeface="Lucida Sans Unicode"/>
              <a:ea typeface="+mn-ea"/>
              <a:cs typeface="Lucida Sans Unicode"/>
            </a:rPr>
            <a:pPr marL="0" indent="0" algn="ctr"/>
            <a:t>266</a:t>
          </a:fld>
          <a:endParaRPr lang="en-US" sz="2000" b="0" i="0" u="none" strike="noStrike">
            <a:solidFill>
              <a:schemeClr val="bg1"/>
            </a:solidFill>
            <a:latin typeface="Lucida Sans Unicode"/>
            <a:ea typeface="+mn-ea"/>
            <a:cs typeface="Lucida Sans Unicode"/>
          </a:endParaRPr>
        </a:p>
      </xdr:txBody>
    </xdr:sp>
    <xdr:clientData/>
  </xdr:twoCellAnchor>
  <xdr:twoCellAnchor>
    <xdr:from>
      <xdr:col>7</xdr:col>
      <xdr:colOff>38568</xdr:colOff>
      <xdr:row>21</xdr:row>
      <xdr:rowOff>48984</xdr:rowOff>
    </xdr:from>
    <xdr:to>
      <xdr:col>9</xdr:col>
      <xdr:colOff>22854</xdr:colOff>
      <xdr:row>23</xdr:row>
      <xdr:rowOff>1</xdr:rowOff>
    </xdr:to>
    <xdr:sp macro="" textlink="Calculations!B174">
      <xdr:nvSpPr>
        <xdr:cNvPr id="29" name="Rectangle 28">
          <a:extLst>
            <a:ext uri="{FF2B5EF4-FFF2-40B4-BE49-F238E27FC236}">
              <a16:creationId xmlns:a16="http://schemas.microsoft.com/office/drawing/2014/main" id="{038AD4F7-E9DB-42BD-363E-7C562486A9B4}"/>
            </a:ext>
          </a:extLst>
        </xdr:cNvPr>
        <xdr:cNvSpPr/>
      </xdr:nvSpPr>
      <xdr:spPr>
        <a:xfrm>
          <a:off x="3817167" y="3817116"/>
          <a:ext cx="1512473" cy="306896"/>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B03DC9-F6D0-46BB-9971-0BCCA0D00682}" type="TxLink">
            <a:rPr lang="en-US" sz="1600" b="0" i="0" u="none" strike="noStrike">
              <a:solidFill>
                <a:schemeClr val="bg1"/>
              </a:solidFill>
              <a:latin typeface="Lucida Sans Unicode"/>
              <a:ea typeface="+mn-ea"/>
              <a:cs typeface="Lucida Sans Unicode"/>
            </a:rPr>
            <a:pPr marL="0" indent="0" algn="ctr"/>
            <a:t> 12,654 </a:t>
          </a:fld>
          <a:endParaRPr lang="en-GB" sz="1600" b="0" i="0" u="none" strike="noStrike">
            <a:solidFill>
              <a:schemeClr val="bg1"/>
            </a:solidFill>
            <a:latin typeface="Lucida Sans Unicode"/>
            <a:ea typeface="+mn-ea"/>
            <a:cs typeface="Lucida Sans Unicode"/>
          </a:endParaRPr>
        </a:p>
      </xdr:txBody>
    </xdr:sp>
    <xdr:clientData/>
  </xdr:twoCellAnchor>
  <xdr:oneCellAnchor>
    <xdr:from>
      <xdr:col>1</xdr:col>
      <xdr:colOff>115137</xdr:colOff>
      <xdr:row>3</xdr:row>
      <xdr:rowOff>41868</xdr:rowOff>
    </xdr:from>
    <xdr:ext cx="1360715" cy="261676"/>
    <xdr:sp macro="" textlink="">
      <xdr:nvSpPr>
        <xdr:cNvPr id="32" name="TextBox 31">
          <a:extLst>
            <a:ext uri="{FF2B5EF4-FFF2-40B4-BE49-F238E27FC236}">
              <a16:creationId xmlns:a16="http://schemas.microsoft.com/office/drawing/2014/main" id="{451E03F8-406E-9D3A-8564-4C5982622A2F}"/>
            </a:ext>
          </a:extLst>
        </xdr:cNvPr>
        <xdr:cNvSpPr txBox="1"/>
      </xdr:nvSpPr>
      <xdr:spPr>
        <a:xfrm>
          <a:off x="355879" y="575687"/>
          <a:ext cx="136071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000" b="1" baseline="0">
              <a:solidFill>
                <a:schemeClr val="bg1"/>
              </a:solidFill>
              <a:latin typeface="Lucida Sans" panose="020B0602030504020204" pitchFamily="34" charset="0"/>
              <a:ea typeface="+mn-ea"/>
              <a:cs typeface="+mn-cs"/>
            </a:rPr>
            <a:t>Total</a:t>
          </a:r>
          <a:r>
            <a:rPr lang="en-GB" sz="1000" b="1" baseline="0">
              <a:solidFill>
                <a:schemeClr val="bg1"/>
              </a:solidFill>
              <a:latin typeface="Lucida Sans" panose="020B0602030504020204" pitchFamily="34" charset="0"/>
            </a:rPr>
            <a:t> </a:t>
          </a:r>
          <a:r>
            <a:rPr lang="en-GB" sz="1000" b="1" baseline="0">
              <a:solidFill>
                <a:schemeClr val="bg1"/>
              </a:solidFill>
              <a:latin typeface="Lucida Sans" panose="020B0602030504020204" pitchFamily="34" charset="0"/>
              <a:ea typeface="+mn-ea"/>
              <a:cs typeface="+mn-cs"/>
            </a:rPr>
            <a:t>Passengers</a:t>
          </a:r>
          <a:r>
            <a:rPr lang="en-GB" sz="1050" baseline="0">
              <a:solidFill>
                <a:schemeClr val="bg1"/>
              </a:solidFill>
              <a:latin typeface="Lucida Sans" panose="020B0602030504020204" pitchFamily="34" charset="0"/>
            </a:rPr>
            <a:t> </a:t>
          </a:r>
          <a:endParaRPr lang="en-GB" sz="1050">
            <a:solidFill>
              <a:schemeClr val="bg1"/>
            </a:solidFill>
            <a:latin typeface="Lucida Sans" panose="020B0602030504020204" pitchFamily="34" charset="0"/>
          </a:endParaRPr>
        </a:p>
      </xdr:txBody>
    </xdr:sp>
    <xdr:clientData/>
  </xdr:oneCellAnchor>
  <xdr:oneCellAnchor>
    <xdr:from>
      <xdr:col>1</xdr:col>
      <xdr:colOff>110530</xdr:colOff>
      <xdr:row>6</xdr:row>
      <xdr:rowOff>152401</xdr:rowOff>
    </xdr:from>
    <xdr:ext cx="1360715" cy="261676"/>
    <xdr:sp macro="" textlink="">
      <xdr:nvSpPr>
        <xdr:cNvPr id="33" name="TextBox 32">
          <a:extLst>
            <a:ext uri="{FF2B5EF4-FFF2-40B4-BE49-F238E27FC236}">
              <a16:creationId xmlns:a16="http://schemas.microsoft.com/office/drawing/2014/main" id="{982BBBAF-CD4E-2F64-768C-F4E2A3212B1E}"/>
            </a:ext>
          </a:extLst>
        </xdr:cNvPr>
        <xdr:cNvSpPr txBox="1"/>
      </xdr:nvSpPr>
      <xdr:spPr>
        <a:xfrm>
          <a:off x="351272" y="1251439"/>
          <a:ext cx="136071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50" b="1">
              <a:solidFill>
                <a:schemeClr val="bg1"/>
              </a:solidFill>
              <a:latin typeface="Lucida Sans" panose="020B0602030504020204" pitchFamily="34" charset="0"/>
              <a:ea typeface="+mn-ea"/>
              <a:cs typeface="+mn-cs"/>
            </a:rPr>
            <a:t>Total Ticket </a:t>
          </a:r>
          <a:r>
            <a:rPr lang="en-GB" sz="1000" b="1" baseline="0">
              <a:solidFill>
                <a:schemeClr val="bg1"/>
              </a:solidFill>
              <a:latin typeface="Lucida Sans" panose="020B0602030504020204" pitchFamily="34" charset="0"/>
              <a:ea typeface="+mn-ea"/>
              <a:cs typeface="+mn-cs"/>
            </a:rPr>
            <a:t>Sold</a:t>
          </a:r>
          <a:r>
            <a:rPr lang="en-GB" sz="1050" b="1">
              <a:solidFill>
                <a:schemeClr val="bg1"/>
              </a:solidFill>
              <a:latin typeface="Lucida Sans" panose="020B0602030504020204" pitchFamily="34" charset="0"/>
              <a:ea typeface="+mn-ea"/>
              <a:cs typeface="+mn-cs"/>
            </a:rPr>
            <a:t> </a:t>
          </a:r>
        </a:p>
      </xdr:txBody>
    </xdr:sp>
    <xdr:clientData/>
  </xdr:oneCellAnchor>
  <xdr:oneCellAnchor>
    <xdr:from>
      <xdr:col>3</xdr:col>
      <xdr:colOff>236135</xdr:colOff>
      <xdr:row>3</xdr:row>
      <xdr:rowOff>37263</xdr:rowOff>
    </xdr:from>
    <xdr:ext cx="1606062" cy="224413"/>
    <xdr:sp macro="" textlink="">
      <xdr:nvSpPr>
        <xdr:cNvPr id="34" name="TextBox 33">
          <a:extLst>
            <a:ext uri="{FF2B5EF4-FFF2-40B4-BE49-F238E27FC236}">
              <a16:creationId xmlns:a16="http://schemas.microsoft.com/office/drawing/2014/main" id="{934E128E-FBCA-9851-53DC-816D92C786C9}"/>
            </a:ext>
          </a:extLst>
        </xdr:cNvPr>
        <xdr:cNvSpPr txBox="1"/>
      </xdr:nvSpPr>
      <xdr:spPr>
        <a:xfrm>
          <a:off x="2005064" y="571082"/>
          <a:ext cx="1606062" cy="2244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baseline="0">
              <a:solidFill>
                <a:schemeClr val="bg1"/>
              </a:solidFill>
              <a:latin typeface="Lucida Sans" panose="020B0602030504020204" pitchFamily="34" charset="0"/>
              <a:ea typeface="+mn-ea"/>
              <a:cs typeface="+mn-cs"/>
            </a:rPr>
            <a:t>Survived Passengers  </a:t>
          </a:r>
        </a:p>
      </xdr:txBody>
    </xdr:sp>
    <xdr:clientData/>
  </xdr:oneCellAnchor>
  <xdr:oneCellAnchor>
    <xdr:from>
      <xdr:col>4</xdr:col>
      <xdr:colOff>95459</xdr:colOff>
      <xdr:row>7</xdr:row>
      <xdr:rowOff>1257</xdr:rowOff>
    </xdr:from>
    <xdr:ext cx="1485064" cy="261676"/>
    <xdr:sp macro="" textlink="">
      <xdr:nvSpPr>
        <xdr:cNvPr id="36" name="TextBox 35">
          <a:extLst>
            <a:ext uri="{FF2B5EF4-FFF2-40B4-BE49-F238E27FC236}">
              <a16:creationId xmlns:a16="http://schemas.microsoft.com/office/drawing/2014/main" id="{A276DE23-C06F-2C6C-DD0F-13AEBF8AD915}"/>
            </a:ext>
          </a:extLst>
        </xdr:cNvPr>
        <xdr:cNvSpPr txBox="1"/>
      </xdr:nvSpPr>
      <xdr:spPr>
        <a:xfrm>
          <a:off x="2105129" y="1278235"/>
          <a:ext cx="1485064"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a:solidFill>
                <a:schemeClr val="bg1"/>
              </a:solidFill>
              <a:latin typeface="Lucida Sans" panose="020B0602030504020204" pitchFamily="34" charset="0"/>
              <a:ea typeface="+mn-ea"/>
              <a:cs typeface="+mn-cs"/>
            </a:rPr>
            <a:t>Max. </a:t>
          </a:r>
          <a:r>
            <a:rPr lang="en-GB" sz="900" b="1" baseline="0">
              <a:solidFill>
                <a:schemeClr val="bg1"/>
              </a:solidFill>
              <a:latin typeface="Lucida Sans" panose="020B0602030504020204" pitchFamily="34" charset="0"/>
              <a:ea typeface="+mn-ea"/>
              <a:cs typeface="+mn-cs"/>
            </a:rPr>
            <a:t>Ticket</a:t>
          </a:r>
          <a:r>
            <a:rPr lang="en-GB" sz="1000" b="1">
              <a:solidFill>
                <a:schemeClr val="bg1"/>
              </a:solidFill>
              <a:latin typeface="Lucida Sans" panose="020B0602030504020204" pitchFamily="34" charset="0"/>
              <a:ea typeface="+mn-ea"/>
              <a:cs typeface="+mn-cs"/>
            </a:rPr>
            <a:t>  Sold</a:t>
          </a:r>
        </a:p>
      </xdr:txBody>
    </xdr:sp>
    <xdr:clientData/>
  </xdr:oneCellAnchor>
  <xdr:oneCellAnchor>
    <xdr:from>
      <xdr:col>7</xdr:col>
      <xdr:colOff>132720</xdr:colOff>
      <xdr:row>6</xdr:row>
      <xdr:rowOff>153658</xdr:rowOff>
    </xdr:from>
    <xdr:ext cx="1589735" cy="261676"/>
    <xdr:sp macro="" textlink="">
      <xdr:nvSpPr>
        <xdr:cNvPr id="37" name="TextBox 36">
          <a:extLst>
            <a:ext uri="{FF2B5EF4-FFF2-40B4-BE49-F238E27FC236}">
              <a16:creationId xmlns:a16="http://schemas.microsoft.com/office/drawing/2014/main" id="{FE5E11B5-466D-29A2-8695-22470F01F352}"/>
            </a:ext>
          </a:extLst>
        </xdr:cNvPr>
        <xdr:cNvSpPr txBox="1"/>
      </xdr:nvSpPr>
      <xdr:spPr>
        <a:xfrm>
          <a:off x="3911319" y="1252696"/>
          <a:ext cx="158973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a:solidFill>
                <a:schemeClr val="bg1"/>
              </a:solidFill>
              <a:latin typeface="Lucida Sans" panose="020B0602030504020204" pitchFamily="34" charset="0"/>
              <a:ea typeface="+mn-ea"/>
              <a:cs typeface="+mn-cs"/>
            </a:rPr>
            <a:t>Min. Ticket  Sold</a:t>
          </a:r>
        </a:p>
      </xdr:txBody>
    </xdr:sp>
    <xdr:clientData/>
  </xdr:oneCellAnchor>
  <xdr:oneCellAnchor>
    <xdr:from>
      <xdr:col>10</xdr:col>
      <xdr:colOff>138582</xdr:colOff>
      <xdr:row>6</xdr:row>
      <xdr:rowOff>128119</xdr:rowOff>
    </xdr:from>
    <xdr:ext cx="1589735" cy="261676"/>
    <xdr:sp macro="" textlink="">
      <xdr:nvSpPr>
        <xdr:cNvPr id="38" name="TextBox 37">
          <a:extLst>
            <a:ext uri="{FF2B5EF4-FFF2-40B4-BE49-F238E27FC236}">
              <a16:creationId xmlns:a16="http://schemas.microsoft.com/office/drawing/2014/main" id="{93F4F1E3-032A-54F5-09DD-0610AB7B0BD7}"/>
            </a:ext>
          </a:extLst>
        </xdr:cNvPr>
        <xdr:cNvSpPr txBox="1"/>
      </xdr:nvSpPr>
      <xdr:spPr>
        <a:xfrm>
          <a:off x="5686109" y="1227157"/>
          <a:ext cx="158973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50" b="1">
              <a:solidFill>
                <a:schemeClr val="bg1"/>
              </a:solidFill>
              <a:latin typeface="Lucida Sans" panose="020B0602030504020204" pitchFamily="34" charset="0"/>
              <a:ea typeface="+mn-ea"/>
              <a:cs typeface="+mn-cs"/>
            </a:rPr>
            <a:t>AVG. </a:t>
          </a:r>
          <a:r>
            <a:rPr lang="en-GB" sz="1000" b="1" baseline="0">
              <a:solidFill>
                <a:schemeClr val="bg1"/>
              </a:solidFill>
              <a:latin typeface="Lucida Sans" panose="020B0602030504020204" pitchFamily="34" charset="0"/>
              <a:ea typeface="+mn-ea"/>
              <a:cs typeface="+mn-cs"/>
            </a:rPr>
            <a:t>Ticket</a:t>
          </a:r>
          <a:r>
            <a:rPr lang="en-GB" sz="1050" b="1">
              <a:solidFill>
                <a:schemeClr val="bg1"/>
              </a:solidFill>
              <a:latin typeface="Lucida Sans" panose="020B0602030504020204" pitchFamily="34" charset="0"/>
              <a:ea typeface="+mn-ea"/>
              <a:cs typeface="+mn-cs"/>
            </a:rPr>
            <a:t>  Sold</a:t>
          </a:r>
        </a:p>
      </xdr:txBody>
    </xdr:sp>
    <xdr:clientData/>
  </xdr:oneCellAnchor>
  <xdr:oneCellAnchor>
    <xdr:from>
      <xdr:col>2</xdr:col>
      <xdr:colOff>196796</xdr:colOff>
      <xdr:row>10</xdr:row>
      <xdr:rowOff>154912</xdr:rowOff>
    </xdr:from>
    <xdr:ext cx="1589735" cy="261676"/>
    <xdr:sp macro="" textlink="">
      <xdr:nvSpPr>
        <xdr:cNvPr id="2" name="TextBox 1">
          <a:extLst>
            <a:ext uri="{FF2B5EF4-FFF2-40B4-BE49-F238E27FC236}">
              <a16:creationId xmlns:a16="http://schemas.microsoft.com/office/drawing/2014/main" id="{17B5EAB4-FA63-75C6-7CCE-64937A86B283}"/>
            </a:ext>
          </a:extLst>
        </xdr:cNvPr>
        <xdr:cNvSpPr txBox="1"/>
      </xdr:nvSpPr>
      <xdr:spPr>
        <a:xfrm>
          <a:off x="1201631" y="1965709"/>
          <a:ext cx="158973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50" b="1">
              <a:solidFill>
                <a:schemeClr val="bg1"/>
              </a:solidFill>
              <a:latin typeface="Lucida Sans" panose="020B0602030504020204" pitchFamily="34" charset="0"/>
              <a:ea typeface="+mn-ea"/>
              <a:cs typeface="+mn-cs"/>
            </a:rPr>
            <a:t>Gender By </a:t>
          </a:r>
          <a:r>
            <a:rPr lang="en-GB" sz="1000" b="1" baseline="0">
              <a:solidFill>
                <a:schemeClr val="bg1"/>
              </a:solidFill>
              <a:latin typeface="Lucida Sans" panose="020B0602030504020204" pitchFamily="34" charset="0"/>
              <a:ea typeface="+mn-ea"/>
              <a:cs typeface="+mn-cs"/>
            </a:rPr>
            <a:t>Class</a:t>
          </a:r>
        </a:p>
      </xdr:txBody>
    </xdr:sp>
    <xdr:clientData/>
  </xdr:oneCellAnchor>
  <xdr:oneCellAnchor>
    <xdr:from>
      <xdr:col>7</xdr:col>
      <xdr:colOff>736465</xdr:colOff>
      <xdr:row>10</xdr:row>
      <xdr:rowOff>157004</xdr:rowOff>
    </xdr:from>
    <xdr:ext cx="2068699" cy="223577"/>
    <xdr:sp macro="" textlink="">
      <xdr:nvSpPr>
        <xdr:cNvPr id="9" name="TextBox 8">
          <a:extLst>
            <a:ext uri="{FF2B5EF4-FFF2-40B4-BE49-F238E27FC236}">
              <a16:creationId xmlns:a16="http://schemas.microsoft.com/office/drawing/2014/main" id="{354C7A91-11C3-089F-18A0-4E8836CAA578}"/>
            </a:ext>
          </a:extLst>
        </xdr:cNvPr>
        <xdr:cNvSpPr txBox="1"/>
      </xdr:nvSpPr>
      <xdr:spPr>
        <a:xfrm>
          <a:off x="4515064" y="1967801"/>
          <a:ext cx="2068699" cy="2235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50" b="1">
              <a:solidFill>
                <a:schemeClr val="bg1"/>
              </a:solidFill>
              <a:latin typeface="Lucida Sans" panose="020B0602030504020204" pitchFamily="34" charset="0"/>
              <a:ea typeface="+mn-ea"/>
              <a:cs typeface="+mn-cs"/>
            </a:rPr>
            <a:t>Age </a:t>
          </a:r>
          <a:r>
            <a:rPr lang="en-GB" sz="1000" b="1" baseline="0">
              <a:solidFill>
                <a:schemeClr val="bg1"/>
              </a:solidFill>
              <a:latin typeface="Lucida Sans" panose="020B0602030504020204" pitchFamily="34" charset="0"/>
              <a:ea typeface="+mn-ea"/>
              <a:cs typeface="+mn-cs"/>
            </a:rPr>
            <a:t>Group</a:t>
          </a:r>
          <a:r>
            <a:rPr lang="en-GB" sz="1050" b="1">
              <a:solidFill>
                <a:schemeClr val="bg1"/>
              </a:solidFill>
              <a:latin typeface="Lucida Sans" panose="020B0602030504020204" pitchFamily="34" charset="0"/>
              <a:ea typeface="+mn-ea"/>
              <a:cs typeface="+mn-cs"/>
            </a:rPr>
            <a:t> By Passengers</a:t>
          </a:r>
        </a:p>
      </xdr:txBody>
    </xdr:sp>
    <xdr:clientData/>
  </xdr:oneCellAnchor>
  <xdr:oneCellAnchor>
    <xdr:from>
      <xdr:col>1</xdr:col>
      <xdr:colOff>150322</xdr:colOff>
      <xdr:row>19</xdr:row>
      <xdr:rowOff>108434</xdr:rowOff>
    </xdr:from>
    <xdr:ext cx="1304595" cy="261676"/>
    <xdr:sp macro="" textlink="">
      <xdr:nvSpPr>
        <xdr:cNvPr id="22" name="TextBox 21">
          <a:extLst>
            <a:ext uri="{FF2B5EF4-FFF2-40B4-BE49-F238E27FC236}">
              <a16:creationId xmlns:a16="http://schemas.microsoft.com/office/drawing/2014/main" id="{69EBB622-880D-0D37-D981-86AC9D9AD0E5}"/>
            </a:ext>
          </a:extLst>
        </xdr:cNvPr>
        <xdr:cNvSpPr txBox="1"/>
      </xdr:nvSpPr>
      <xdr:spPr>
        <a:xfrm>
          <a:off x="391064" y="3520687"/>
          <a:ext cx="130459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chemeClr val="bg1"/>
              </a:solidFill>
              <a:latin typeface="Lucida Sans" panose="020B0602030504020204" pitchFamily="34" charset="0"/>
            </a:rPr>
            <a:t>Port</a:t>
          </a:r>
          <a:r>
            <a:rPr lang="en-GB" sz="1100" b="1" baseline="0">
              <a:solidFill>
                <a:schemeClr val="bg1"/>
              </a:solidFill>
              <a:latin typeface="Lucida Sans" panose="020B0602030504020204" pitchFamily="34" charset="0"/>
            </a:rPr>
            <a:t> Embarked</a:t>
          </a:r>
          <a:endParaRPr lang="en-GB" sz="1100" b="1">
            <a:solidFill>
              <a:schemeClr val="bg1"/>
            </a:solidFill>
            <a:latin typeface="Lucida Sans" panose="020B0602030504020204" pitchFamily="34" charset="0"/>
          </a:endParaRPr>
        </a:p>
      </xdr:txBody>
    </xdr:sp>
    <xdr:clientData/>
  </xdr:oneCellAnchor>
  <xdr:twoCellAnchor>
    <xdr:from>
      <xdr:col>10</xdr:col>
      <xdr:colOff>38566</xdr:colOff>
      <xdr:row>4</xdr:row>
      <xdr:rowOff>101321</xdr:rowOff>
    </xdr:from>
    <xdr:to>
      <xdr:col>11</xdr:col>
      <xdr:colOff>743160</xdr:colOff>
      <xdr:row>6</xdr:row>
      <xdr:rowOff>60848</xdr:rowOff>
    </xdr:to>
    <xdr:sp macro="" textlink="Calculations!C105">
      <xdr:nvSpPr>
        <xdr:cNvPr id="24" name="Rectangle 23">
          <a:extLst>
            <a:ext uri="{FF2B5EF4-FFF2-40B4-BE49-F238E27FC236}">
              <a16:creationId xmlns:a16="http://schemas.microsoft.com/office/drawing/2014/main" id="{E71D0AC5-6420-52A2-DD4C-7B5CFAE64A59}"/>
            </a:ext>
          </a:extLst>
        </xdr:cNvPr>
        <xdr:cNvSpPr/>
      </xdr:nvSpPr>
      <xdr:spPr>
        <a:xfrm>
          <a:off x="5586093" y="813079"/>
          <a:ext cx="1468688" cy="346807"/>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CC7A2CA-EC99-4B6C-BBBC-D401940D49C7}" type="TxLink">
            <a:rPr lang="en-US" sz="2000" b="0" i="0" u="none" strike="noStrike">
              <a:solidFill>
                <a:schemeClr val="bg1"/>
              </a:solidFill>
              <a:latin typeface="Lucida Sans Unicode"/>
              <a:ea typeface="+mn-ea"/>
              <a:cs typeface="Lucida Sans Unicode"/>
            </a:rPr>
            <a:pPr marL="0" indent="0" algn="ctr"/>
            <a:t>52</a:t>
          </a:fld>
          <a:endParaRPr lang="en-US" sz="2000" b="0" i="0" u="none" strike="noStrike">
            <a:solidFill>
              <a:schemeClr val="bg1"/>
            </a:solidFill>
            <a:latin typeface="Lucida Sans Unicode"/>
            <a:ea typeface="+mn-ea"/>
            <a:cs typeface="Lucida Sans Unicode"/>
          </a:endParaRPr>
        </a:p>
      </xdr:txBody>
    </xdr:sp>
    <xdr:clientData/>
  </xdr:twoCellAnchor>
  <xdr:oneCellAnchor>
    <xdr:from>
      <xdr:col>9</xdr:col>
      <xdr:colOff>209341</xdr:colOff>
      <xdr:row>3</xdr:row>
      <xdr:rowOff>48987</xdr:rowOff>
    </xdr:from>
    <xdr:ext cx="1632857" cy="261676"/>
    <xdr:sp macro="" textlink="">
      <xdr:nvSpPr>
        <xdr:cNvPr id="30" name="TextBox 29">
          <a:extLst>
            <a:ext uri="{FF2B5EF4-FFF2-40B4-BE49-F238E27FC236}">
              <a16:creationId xmlns:a16="http://schemas.microsoft.com/office/drawing/2014/main" id="{D0E36638-E724-768B-BFA1-3D9F50730679}"/>
            </a:ext>
          </a:extLst>
        </xdr:cNvPr>
        <xdr:cNvSpPr txBox="1"/>
      </xdr:nvSpPr>
      <xdr:spPr>
        <a:xfrm>
          <a:off x="5516127" y="582806"/>
          <a:ext cx="1632857"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baseline="0">
              <a:solidFill>
                <a:schemeClr val="bg1"/>
              </a:solidFill>
              <a:latin typeface="Lucida Sans" panose="020B0602030504020204" pitchFamily="34" charset="0"/>
              <a:ea typeface="+mn-ea"/>
              <a:cs typeface="+mn-cs"/>
            </a:rPr>
            <a:t>Passengers with Child</a:t>
          </a:r>
          <a:r>
            <a:rPr lang="en-GB" sz="1000" b="1">
              <a:solidFill>
                <a:schemeClr val="bg1"/>
              </a:solidFill>
              <a:latin typeface="Lucida Sans" panose="020B0602030504020204" pitchFamily="34" charset="0"/>
              <a:ea typeface="+mn-ea"/>
              <a:cs typeface="+mn-cs"/>
            </a:rPr>
            <a:t>  </a:t>
          </a:r>
        </a:p>
      </xdr:txBody>
    </xdr:sp>
    <xdr:clientData/>
  </xdr:oneCellAnchor>
  <xdr:oneCellAnchor>
    <xdr:from>
      <xdr:col>7</xdr:col>
      <xdr:colOff>168728</xdr:colOff>
      <xdr:row>3</xdr:row>
      <xdr:rowOff>74526</xdr:rowOff>
    </xdr:from>
    <xdr:ext cx="1474596" cy="261676"/>
    <xdr:sp macro="" textlink="">
      <xdr:nvSpPr>
        <xdr:cNvPr id="31" name="TextBox 30">
          <a:extLst>
            <a:ext uri="{FF2B5EF4-FFF2-40B4-BE49-F238E27FC236}">
              <a16:creationId xmlns:a16="http://schemas.microsoft.com/office/drawing/2014/main" id="{6111A86C-A80C-E2F8-935B-9E0801699840}"/>
            </a:ext>
          </a:extLst>
        </xdr:cNvPr>
        <xdr:cNvSpPr txBox="1"/>
      </xdr:nvSpPr>
      <xdr:spPr>
        <a:xfrm>
          <a:off x="3947327" y="608345"/>
          <a:ext cx="1474596"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50" b="1" baseline="0">
              <a:solidFill>
                <a:schemeClr val="bg1"/>
              </a:solidFill>
              <a:latin typeface="Lucida Sans" panose="020B0602030504020204" pitchFamily="34" charset="0"/>
              <a:ea typeface="+mn-ea"/>
              <a:cs typeface="+mn-cs"/>
            </a:rPr>
            <a:t>Dead</a:t>
          </a:r>
          <a:r>
            <a:rPr lang="en-GB" sz="1050" b="1">
              <a:solidFill>
                <a:schemeClr val="bg1"/>
              </a:solidFill>
              <a:latin typeface="Lucida Sans" panose="020B0602030504020204" pitchFamily="34" charset="0"/>
              <a:ea typeface="+mn-ea"/>
              <a:cs typeface="+mn-cs"/>
            </a:rPr>
            <a:t> </a:t>
          </a:r>
          <a:r>
            <a:rPr lang="en-GB" sz="1000" b="1" baseline="0">
              <a:solidFill>
                <a:schemeClr val="bg1"/>
              </a:solidFill>
              <a:latin typeface="Lucida Sans" panose="020B0602030504020204" pitchFamily="34" charset="0"/>
              <a:ea typeface="+mn-ea"/>
              <a:cs typeface="+mn-cs"/>
            </a:rPr>
            <a:t>Passengers</a:t>
          </a:r>
          <a:r>
            <a:rPr lang="en-GB" sz="1050" b="1">
              <a:solidFill>
                <a:schemeClr val="bg1"/>
              </a:solidFill>
              <a:latin typeface="Lucida Sans" panose="020B0602030504020204" pitchFamily="34" charset="0"/>
              <a:ea typeface="+mn-ea"/>
              <a:cs typeface="+mn-cs"/>
            </a:rPr>
            <a:t>  </a:t>
          </a:r>
        </a:p>
      </xdr:txBody>
    </xdr:sp>
    <xdr:clientData/>
  </xdr:oneCellAnchor>
  <xdr:oneCellAnchor>
    <xdr:from>
      <xdr:col>13</xdr:col>
      <xdr:colOff>690824</xdr:colOff>
      <xdr:row>9</xdr:row>
      <xdr:rowOff>82900</xdr:rowOff>
    </xdr:from>
    <xdr:ext cx="2721429" cy="261676"/>
    <xdr:sp macro="" textlink="">
      <xdr:nvSpPr>
        <xdr:cNvPr id="3" name="TextBox 2">
          <a:extLst>
            <a:ext uri="{FF2B5EF4-FFF2-40B4-BE49-F238E27FC236}">
              <a16:creationId xmlns:a16="http://schemas.microsoft.com/office/drawing/2014/main" id="{FDFFBC91-8AF7-5963-5B8D-8558FA024CF3}"/>
            </a:ext>
          </a:extLst>
        </xdr:cNvPr>
        <xdr:cNvSpPr txBox="1"/>
      </xdr:nvSpPr>
      <xdr:spPr>
        <a:xfrm>
          <a:off x="8007280" y="1715757"/>
          <a:ext cx="2721429"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000" b="1">
              <a:solidFill>
                <a:schemeClr val="bg1"/>
              </a:solidFill>
              <a:latin typeface="Lucida Sans" panose="020B0602030504020204" pitchFamily="34" charset="0"/>
            </a:rPr>
            <a:t>Ports Embarked By Passengers</a:t>
          </a:r>
        </a:p>
        <a:p>
          <a:pPr algn="ctr"/>
          <a:endParaRPr lang="en-GB" sz="1000" b="1">
            <a:solidFill>
              <a:schemeClr val="bg1"/>
            </a:solidFill>
            <a:latin typeface="Lucida Sans" panose="020B0602030504020204" pitchFamily="34" charset="0"/>
          </a:endParaRPr>
        </a:p>
      </xdr:txBody>
    </xdr:sp>
    <xdr:clientData/>
  </xdr:oneCellAnchor>
  <xdr:twoCellAnchor>
    <xdr:from>
      <xdr:col>0</xdr:col>
      <xdr:colOff>131466</xdr:colOff>
      <xdr:row>23</xdr:row>
      <xdr:rowOff>5861</xdr:rowOff>
    </xdr:from>
    <xdr:to>
      <xdr:col>2</xdr:col>
      <xdr:colOff>728087</xdr:colOff>
      <xdr:row>25</xdr:row>
      <xdr:rowOff>89598</xdr:rowOff>
    </xdr:to>
    <xdr:sp macro="" textlink="">
      <xdr:nvSpPr>
        <xdr:cNvPr id="39" name="Rectangle: Rounded Corners 38">
          <a:extLst>
            <a:ext uri="{FF2B5EF4-FFF2-40B4-BE49-F238E27FC236}">
              <a16:creationId xmlns:a16="http://schemas.microsoft.com/office/drawing/2014/main" id="{321E2A2B-9417-BC46-57F4-31B327BB4D3B}"/>
            </a:ext>
          </a:extLst>
        </xdr:cNvPr>
        <xdr:cNvSpPr/>
      </xdr:nvSpPr>
      <xdr:spPr>
        <a:xfrm>
          <a:off x="131466" y="4129872"/>
          <a:ext cx="1601456" cy="439616"/>
        </a:xfrm>
        <a:prstGeom prst="round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GB" sz="1100"/>
        </a:p>
      </xdr:txBody>
    </xdr:sp>
    <xdr:clientData/>
  </xdr:twoCellAnchor>
  <xdr:oneCellAnchor>
    <xdr:from>
      <xdr:col>14</xdr:col>
      <xdr:colOff>282612</xdr:colOff>
      <xdr:row>18</xdr:row>
      <xdr:rowOff>149053</xdr:rowOff>
    </xdr:from>
    <xdr:ext cx="1831731" cy="261676"/>
    <xdr:sp macro="" textlink="">
      <xdr:nvSpPr>
        <xdr:cNvPr id="43" name="TextBox 42">
          <a:extLst>
            <a:ext uri="{FF2B5EF4-FFF2-40B4-BE49-F238E27FC236}">
              <a16:creationId xmlns:a16="http://schemas.microsoft.com/office/drawing/2014/main" id="{FAC581AF-54F8-D672-BFE0-DA51707C4EA7}"/>
            </a:ext>
          </a:extLst>
        </xdr:cNvPr>
        <xdr:cNvSpPr txBox="1"/>
      </xdr:nvSpPr>
      <xdr:spPr>
        <a:xfrm>
          <a:off x="8363161" y="3383366"/>
          <a:ext cx="1831731"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baseline="0">
              <a:solidFill>
                <a:schemeClr val="bg1"/>
              </a:solidFill>
              <a:latin typeface="Lucida Sans" panose="020B0602030504020204" pitchFamily="34" charset="0"/>
              <a:ea typeface="+mn-ea"/>
              <a:cs typeface="+mn-cs"/>
            </a:rPr>
            <a:t>Passengers Per Siblings</a:t>
          </a:r>
          <a:endParaRPr lang="en-GB" sz="1000" b="1">
            <a:solidFill>
              <a:schemeClr val="bg1"/>
            </a:solidFill>
            <a:latin typeface="Lucida Sans" panose="020B0602030504020204" pitchFamily="34" charset="0"/>
            <a:ea typeface="+mn-ea"/>
            <a:cs typeface="+mn-cs"/>
          </a:endParaRPr>
        </a:p>
      </xdr:txBody>
    </xdr:sp>
    <xdr:clientData/>
  </xdr:oneCellAnchor>
  <xdr:oneCellAnchor>
    <xdr:from>
      <xdr:col>7</xdr:col>
      <xdr:colOff>364253</xdr:colOff>
      <xdr:row>20</xdr:row>
      <xdr:rowOff>8369</xdr:rowOff>
    </xdr:from>
    <xdr:ext cx="1132534" cy="190505"/>
    <xdr:sp macro="" textlink="">
      <xdr:nvSpPr>
        <xdr:cNvPr id="44" name="TextBox 43">
          <a:extLst>
            <a:ext uri="{FF2B5EF4-FFF2-40B4-BE49-F238E27FC236}">
              <a16:creationId xmlns:a16="http://schemas.microsoft.com/office/drawing/2014/main" id="{0908596E-4602-C927-45A0-B8852D9BF788}"/>
            </a:ext>
          </a:extLst>
        </xdr:cNvPr>
        <xdr:cNvSpPr txBox="1"/>
      </xdr:nvSpPr>
      <xdr:spPr>
        <a:xfrm>
          <a:off x="4142852" y="3598561"/>
          <a:ext cx="1132534" cy="1905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a:solidFill>
                <a:schemeClr val="bg1"/>
              </a:solidFill>
              <a:latin typeface="Lucida Sans" panose="020B0602030504020204" pitchFamily="34" charset="0"/>
              <a:ea typeface="+mn-ea"/>
              <a:cs typeface="+mn-cs"/>
            </a:rPr>
            <a:t>Overall</a:t>
          </a:r>
          <a:r>
            <a:rPr lang="en-GB" sz="1000" b="1" baseline="0">
              <a:solidFill>
                <a:schemeClr val="bg1"/>
              </a:solidFill>
              <a:latin typeface="Lucida Sans" panose="020B0602030504020204" pitchFamily="34" charset="0"/>
              <a:ea typeface="+mn-ea"/>
              <a:cs typeface="+mn-cs"/>
            </a:rPr>
            <a:t> Age</a:t>
          </a:r>
          <a:endParaRPr lang="en-GB" sz="1000" b="1">
            <a:solidFill>
              <a:schemeClr val="bg1"/>
            </a:solidFill>
            <a:latin typeface="Lucida Sans" panose="020B0602030504020204" pitchFamily="34" charset="0"/>
            <a:ea typeface="+mn-ea"/>
            <a:cs typeface="+mn-cs"/>
          </a:endParaRPr>
        </a:p>
      </xdr:txBody>
    </xdr:sp>
    <xdr:clientData/>
  </xdr:oneCellAnchor>
  <xdr:oneCellAnchor>
    <xdr:from>
      <xdr:col>7</xdr:col>
      <xdr:colOff>370115</xdr:colOff>
      <xdr:row>23</xdr:row>
      <xdr:rowOff>45630</xdr:rowOff>
    </xdr:from>
    <xdr:ext cx="1132534" cy="190505"/>
    <xdr:sp macro="" textlink="">
      <xdr:nvSpPr>
        <xdr:cNvPr id="48" name="TextBox 47">
          <a:extLst>
            <a:ext uri="{FF2B5EF4-FFF2-40B4-BE49-F238E27FC236}">
              <a16:creationId xmlns:a16="http://schemas.microsoft.com/office/drawing/2014/main" id="{3E9047D1-4347-0751-9F62-B2FD25831660}"/>
            </a:ext>
          </a:extLst>
        </xdr:cNvPr>
        <xdr:cNvSpPr txBox="1"/>
      </xdr:nvSpPr>
      <xdr:spPr>
        <a:xfrm>
          <a:off x="4148714" y="4169641"/>
          <a:ext cx="1132534" cy="1905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a:solidFill>
                <a:schemeClr val="bg1"/>
              </a:solidFill>
              <a:latin typeface="Lucida Sans" panose="020B0602030504020204" pitchFamily="34" charset="0"/>
              <a:ea typeface="+mn-ea"/>
              <a:cs typeface="+mn-cs"/>
            </a:rPr>
            <a:t>Highest</a:t>
          </a:r>
          <a:r>
            <a:rPr lang="en-GB" sz="1000" b="1" baseline="0">
              <a:solidFill>
                <a:schemeClr val="bg1"/>
              </a:solidFill>
              <a:latin typeface="Lucida Sans" panose="020B0602030504020204" pitchFamily="34" charset="0"/>
              <a:ea typeface="+mn-ea"/>
              <a:cs typeface="+mn-cs"/>
            </a:rPr>
            <a:t> Age</a:t>
          </a:r>
          <a:endParaRPr lang="en-GB" sz="1000" b="1">
            <a:solidFill>
              <a:schemeClr val="bg1"/>
            </a:solidFill>
            <a:latin typeface="Lucida Sans" panose="020B0602030504020204" pitchFamily="34" charset="0"/>
            <a:ea typeface="+mn-ea"/>
            <a:cs typeface="+mn-cs"/>
          </a:endParaRPr>
        </a:p>
      </xdr:txBody>
    </xdr:sp>
    <xdr:clientData/>
  </xdr:oneCellAnchor>
  <xdr:oneCellAnchor>
    <xdr:from>
      <xdr:col>10</xdr:col>
      <xdr:colOff>265440</xdr:colOff>
      <xdr:row>20</xdr:row>
      <xdr:rowOff>3764</xdr:rowOff>
    </xdr:from>
    <xdr:ext cx="1132534" cy="190505"/>
    <xdr:sp macro="" textlink="">
      <xdr:nvSpPr>
        <xdr:cNvPr id="49" name="TextBox 48">
          <a:extLst>
            <a:ext uri="{FF2B5EF4-FFF2-40B4-BE49-F238E27FC236}">
              <a16:creationId xmlns:a16="http://schemas.microsoft.com/office/drawing/2014/main" id="{D8EF30B2-1A17-F9BB-40B1-97B792466DD8}"/>
            </a:ext>
          </a:extLst>
        </xdr:cNvPr>
        <xdr:cNvSpPr txBox="1"/>
      </xdr:nvSpPr>
      <xdr:spPr>
        <a:xfrm>
          <a:off x="5812967" y="3593956"/>
          <a:ext cx="1132534" cy="1905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a:solidFill>
                <a:schemeClr val="bg1"/>
              </a:solidFill>
              <a:latin typeface="Lucida Sans" panose="020B0602030504020204" pitchFamily="34" charset="0"/>
              <a:ea typeface="+mn-ea"/>
              <a:cs typeface="+mn-cs"/>
            </a:rPr>
            <a:t>Average</a:t>
          </a:r>
          <a:r>
            <a:rPr lang="en-GB" sz="1000" b="1" baseline="0">
              <a:solidFill>
                <a:schemeClr val="bg1"/>
              </a:solidFill>
              <a:latin typeface="Lucida Sans" panose="020B0602030504020204" pitchFamily="34" charset="0"/>
              <a:ea typeface="+mn-ea"/>
              <a:cs typeface="+mn-cs"/>
            </a:rPr>
            <a:t> Age</a:t>
          </a:r>
          <a:endParaRPr lang="en-GB" sz="1000" b="1">
            <a:solidFill>
              <a:schemeClr val="bg1"/>
            </a:solidFill>
            <a:latin typeface="Lucida Sans" panose="020B0602030504020204" pitchFamily="34" charset="0"/>
            <a:ea typeface="+mn-ea"/>
            <a:cs typeface="+mn-cs"/>
          </a:endParaRPr>
        </a:p>
      </xdr:txBody>
    </xdr:sp>
    <xdr:clientData/>
  </xdr:oneCellAnchor>
  <xdr:oneCellAnchor>
    <xdr:from>
      <xdr:col>10</xdr:col>
      <xdr:colOff>355038</xdr:colOff>
      <xdr:row>23</xdr:row>
      <xdr:rowOff>61959</xdr:rowOff>
    </xdr:from>
    <xdr:ext cx="1132534" cy="190505"/>
    <xdr:sp macro="" textlink="">
      <xdr:nvSpPr>
        <xdr:cNvPr id="50" name="TextBox 49">
          <a:extLst>
            <a:ext uri="{FF2B5EF4-FFF2-40B4-BE49-F238E27FC236}">
              <a16:creationId xmlns:a16="http://schemas.microsoft.com/office/drawing/2014/main" id="{F9790E86-A002-B7C0-E8C3-B7228B0B05FE}"/>
            </a:ext>
          </a:extLst>
        </xdr:cNvPr>
        <xdr:cNvSpPr txBox="1"/>
      </xdr:nvSpPr>
      <xdr:spPr>
        <a:xfrm>
          <a:off x="5902565" y="4185970"/>
          <a:ext cx="1132534" cy="1905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GB" sz="1000" b="1">
              <a:solidFill>
                <a:schemeClr val="bg1"/>
              </a:solidFill>
              <a:latin typeface="Lucida Sans" panose="020B0602030504020204" pitchFamily="34" charset="0"/>
              <a:ea typeface="+mn-ea"/>
              <a:cs typeface="+mn-cs"/>
            </a:rPr>
            <a:t>Lowest</a:t>
          </a:r>
          <a:r>
            <a:rPr lang="en-GB" sz="1000" b="1" baseline="0">
              <a:solidFill>
                <a:schemeClr val="bg1"/>
              </a:solidFill>
              <a:latin typeface="Lucida Sans" panose="020B0602030504020204" pitchFamily="34" charset="0"/>
              <a:ea typeface="+mn-ea"/>
              <a:cs typeface="+mn-cs"/>
            </a:rPr>
            <a:t> Age</a:t>
          </a:r>
          <a:endParaRPr lang="en-GB" sz="1000" b="1">
            <a:solidFill>
              <a:schemeClr val="bg1"/>
            </a:solidFill>
            <a:latin typeface="Lucida Sans" panose="020B0602030504020204" pitchFamily="34" charset="0"/>
            <a:ea typeface="+mn-ea"/>
            <a:cs typeface="+mn-cs"/>
          </a:endParaRPr>
        </a:p>
      </xdr:txBody>
    </xdr:sp>
    <xdr:clientData/>
  </xdr:oneCellAnchor>
  <xdr:twoCellAnchor>
    <xdr:from>
      <xdr:col>7</xdr:col>
      <xdr:colOff>48101</xdr:colOff>
      <xdr:row>24</xdr:row>
      <xdr:rowOff>89599</xdr:rowOff>
    </xdr:from>
    <xdr:to>
      <xdr:col>9</xdr:col>
      <xdr:colOff>35003</xdr:colOff>
      <xdr:row>26</xdr:row>
      <xdr:rowOff>62802</xdr:rowOff>
    </xdr:to>
    <xdr:sp macro="" textlink="Calculations!C174">
      <xdr:nvSpPr>
        <xdr:cNvPr id="51" name="Rectangle 50">
          <a:extLst>
            <a:ext uri="{FF2B5EF4-FFF2-40B4-BE49-F238E27FC236}">
              <a16:creationId xmlns:a16="http://schemas.microsoft.com/office/drawing/2014/main" id="{058289BF-50F8-076F-F4E9-734BABEC7E89}"/>
            </a:ext>
          </a:extLst>
        </xdr:cNvPr>
        <xdr:cNvSpPr/>
      </xdr:nvSpPr>
      <xdr:spPr>
        <a:xfrm>
          <a:off x="3826700" y="4391550"/>
          <a:ext cx="1515089" cy="329082"/>
        </a:xfrm>
        <a:prstGeom prst="rect">
          <a:avLst/>
        </a:prstGeom>
        <a:noFill/>
        <a:ln w="9525" cap="sq" cmpd="sng">
          <a:solidFill>
            <a:srgbClr val="FFFF00"/>
          </a:solidFill>
        </a:ln>
        <a:effectLst>
          <a:outerShdw blurRad="50800" dist="38100" dir="10800000" sx="200000" sy="200000" algn="r" rotWithShape="0">
            <a:schemeClr val="accent4">
              <a:alpha val="0"/>
            </a:scheme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BAC8B59-B5A3-4453-BBF6-AE10DB16A29D}" type="TxLink">
            <a:rPr lang="en-US" sz="1600" b="0" i="0" u="none" strike="noStrike">
              <a:solidFill>
                <a:schemeClr val="bg1"/>
              </a:solidFill>
              <a:latin typeface="Lucida Sans Unicode"/>
              <a:ea typeface="+mn-ea"/>
              <a:cs typeface="Lucida Sans Unicode"/>
            </a:rPr>
            <a:pPr marL="0" indent="0" algn="ctr"/>
            <a:t>76</a:t>
          </a:fld>
          <a:endParaRPr lang="en-GB" sz="1600" b="0" i="0" u="none" strike="noStrike">
            <a:solidFill>
              <a:schemeClr val="bg1"/>
            </a:solidFill>
            <a:latin typeface="Lucida Sans Unicode"/>
            <a:ea typeface="+mn-ea"/>
            <a:cs typeface="Lucida Sans Unicode"/>
          </a:endParaRPr>
        </a:p>
      </xdr:txBody>
    </xdr:sp>
    <xdr:clientData/>
  </xdr:twoCellAnchor>
  <xdr:twoCellAnchor editAs="oneCell">
    <xdr:from>
      <xdr:col>10</xdr:col>
      <xdr:colOff>0</xdr:colOff>
      <xdr:row>0</xdr:row>
      <xdr:rowOff>136070</xdr:rowOff>
    </xdr:from>
    <xdr:to>
      <xdr:col>11</xdr:col>
      <xdr:colOff>743160</xdr:colOff>
      <xdr:row>2</xdr:row>
      <xdr:rowOff>167473</xdr:rowOff>
    </xdr:to>
    <mc:AlternateContent xmlns:mc="http://schemas.openxmlformats.org/markup-compatibility/2006" xmlns:a14="http://schemas.microsoft.com/office/drawing/2010/main">
      <mc:Choice Requires="a14">
        <xdr:graphicFrame macro="">
          <xdr:nvGraphicFramePr>
            <xdr:cNvPr id="52" name="Sex">
              <a:extLst>
                <a:ext uri="{FF2B5EF4-FFF2-40B4-BE49-F238E27FC236}">
                  <a16:creationId xmlns:a16="http://schemas.microsoft.com/office/drawing/2014/main" id="{47205EB5-07A5-4714-8C7D-AFAEAE68BB95}"/>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5547527" y="136070"/>
              <a:ext cx="1507254" cy="3872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31400</xdr:colOff>
      <xdr:row>21</xdr:row>
      <xdr:rowOff>20936</xdr:rowOff>
    </xdr:from>
    <xdr:to>
      <xdr:col>4</xdr:col>
      <xdr:colOff>314012</xdr:colOff>
      <xdr:row>26</xdr:row>
      <xdr:rowOff>20934</xdr:rowOff>
    </xdr:to>
    <mc:AlternateContent xmlns:mc="http://schemas.openxmlformats.org/markup-compatibility/2006" xmlns:a14="http://schemas.microsoft.com/office/drawing/2010/main">
      <mc:Choice Requires="a14">
        <xdr:graphicFrame macro="">
          <xdr:nvGraphicFramePr>
            <xdr:cNvPr id="53" name="Embarked">
              <a:extLst>
                <a:ext uri="{FF2B5EF4-FFF2-40B4-BE49-F238E27FC236}">
                  <a16:creationId xmlns:a16="http://schemas.microsoft.com/office/drawing/2014/main" id="{D8EA9EF1-7391-4E89-901D-C91FE6819BEE}"/>
                </a:ext>
              </a:extLst>
            </xdr:cNvPr>
            <xdr:cNvGraphicFramePr/>
          </xdr:nvGraphicFramePr>
          <xdr:xfrm>
            <a:off x="0" y="0"/>
            <a:ext cx="0" cy="0"/>
          </xdr:xfrm>
          <a:graphic>
            <a:graphicData uri="http://schemas.microsoft.com/office/drawing/2010/slicer">
              <sle:slicer xmlns:sle="http://schemas.microsoft.com/office/drawing/2010/slicer" name="Embarked"/>
            </a:graphicData>
          </a:graphic>
        </xdr:graphicFrame>
      </mc:Choice>
      <mc:Fallback xmlns="">
        <xdr:sp macro="" textlink="">
          <xdr:nvSpPr>
            <xdr:cNvPr id="0" name=""/>
            <xdr:cNvSpPr>
              <a:spLocks noTextEdit="1"/>
            </xdr:cNvSpPr>
          </xdr:nvSpPr>
          <xdr:spPr>
            <a:xfrm>
              <a:off x="272142" y="3789067"/>
              <a:ext cx="2051540" cy="8582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198051</xdr:colOff>
      <xdr:row>19</xdr:row>
      <xdr:rowOff>145696</xdr:rowOff>
    </xdr:from>
    <xdr:ext cx="1304595" cy="261676"/>
    <xdr:sp macro="" textlink="">
      <xdr:nvSpPr>
        <xdr:cNvPr id="58" name="TextBox 57">
          <a:extLst>
            <a:ext uri="{FF2B5EF4-FFF2-40B4-BE49-F238E27FC236}">
              <a16:creationId xmlns:a16="http://schemas.microsoft.com/office/drawing/2014/main" id="{1497C87B-7185-1AB7-5623-3BC1D4A610FB}"/>
            </a:ext>
          </a:extLst>
        </xdr:cNvPr>
        <xdr:cNvSpPr txBox="1"/>
      </xdr:nvSpPr>
      <xdr:spPr>
        <a:xfrm>
          <a:off x="2207721" y="3557949"/>
          <a:ext cx="1304595" cy="26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chemeClr val="bg1"/>
              </a:solidFill>
              <a:latin typeface="Lucida Sans" panose="020B0602030504020204" pitchFamily="34" charset="0"/>
            </a:rPr>
            <a:t>Cases</a:t>
          </a:r>
        </a:p>
      </xdr:txBody>
    </xdr:sp>
    <xdr:clientData/>
  </xdr:oneCellAnchor>
  <xdr:twoCellAnchor editAs="oneCell">
    <xdr:from>
      <xdr:col>4</xdr:col>
      <xdr:colOff>355878</xdr:colOff>
      <xdr:row>21</xdr:row>
      <xdr:rowOff>20934</xdr:rowOff>
    </xdr:from>
    <xdr:to>
      <xdr:col>6</xdr:col>
      <xdr:colOff>20934</xdr:colOff>
      <xdr:row>26</xdr:row>
      <xdr:rowOff>31401</xdr:rowOff>
    </xdr:to>
    <mc:AlternateContent xmlns:mc="http://schemas.openxmlformats.org/markup-compatibility/2006" xmlns:a14="http://schemas.microsoft.com/office/drawing/2010/main">
      <mc:Choice Requires="a14">
        <xdr:graphicFrame macro="">
          <xdr:nvGraphicFramePr>
            <xdr:cNvPr id="59" name="Survival Status">
              <a:extLst>
                <a:ext uri="{FF2B5EF4-FFF2-40B4-BE49-F238E27FC236}">
                  <a16:creationId xmlns:a16="http://schemas.microsoft.com/office/drawing/2014/main" id="{187E1385-3104-462A-9255-BFBC5C57B411}"/>
                </a:ext>
              </a:extLst>
            </xdr:cNvPr>
            <xdr:cNvGraphicFramePr/>
          </xdr:nvGraphicFramePr>
          <xdr:xfrm>
            <a:off x="0" y="0"/>
            <a:ext cx="0" cy="0"/>
          </xdr:xfrm>
          <a:graphic>
            <a:graphicData uri="http://schemas.microsoft.com/office/drawing/2010/slicer">
              <sle:slicer xmlns:sle="http://schemas.microsoft.com/office/drawing/2010/slicer" name="Survival Status"/>
            </a:graphicData>
          </a:graphic>
        </xdr:graphicFrame>
      </mc:Choice>
      <mc:Fallback xmlns="">
        <xdr:sp macro="" textlink="">
          <xdr:nvSpPr>
            <xdr:cNvPr id="0" name=""/>
            <xdr:cNvSpPr>
              <a:spLocks noTextEdit="1"/>
            </xdr:cNvSpPr>
          </xdr:nvSpPr>
          <xdr:spPr>
            <a:xfrm>
              <a:off x="2365548" y="3789066"/>
              <a:ext cx="1193243" cy="90016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188406</xdr:colOff>
      <xdr:row>0</xdr:row>
      <xdr:rowOff>146537</xdr:rowOff>
    </xdr:from>
    <xdr:to>
      <xdr:col>8</xdr:col>
      <xdr:colOff>753627</xdr:colOff>
      <xdr:row>2</xdr:row>
      <xdr:rowOff>83735</xdr:rowOff>
    </xdr:to>
    <xdr:pic>
      <xdr:nvPicPr>
        <xdr:cNvPr id="35" name="Picture 34">
          <a:extLst>
            <a:ext uri="{FF2B5EF4-FFF2-40B4-BE49-F238E27FC236}">
              <a16:creationId xmlns:a16="http://schemas.microsoft.com/office/drawing/2014/main" id="{4FB789EB-D0A6-34F7-B9E8-787DCC2F5009}"/>
            </a:ext>
          </a:extLst>
        </xdr:cNvPr>
        <xdr:cNvPicPr>
          <a:picLocks noChangeAspect="1"/>
        </xdr:cNvPicPr>
      </xdr:nvPicPr>
      <xdr:blipFill rotWithShape="1">
        <a:blip xmlns:r="http://schemas.openxmlformats.org/officeDocument/2006/relationships" r:embed="rId6" cstate="print">
          <a:extLst>
            <a:ext uri="{BEBA8EAE-BF5A-486C-A8C5-ECC9F3942E4B}">
              <a14:imgProps xmlns:a14="http://schemas.microsoft.com/office/drawing/2010/main">
                <a14:imgLayer r:embed="rId7">
                  <a14:imgEffect>
                    <a14:backgroundRemoval t="19773" b="93938" l="35528" r="100000"/>
                  </a14:imgEffect>
                  <a14:imgEffect>
                    <a14:colorTemperature colorTemp="4700"/>
                  </a14:imgEffect>
                </a14:imgLayer>
              </a14:imgProps>
            </a:ext>
            <a:ext uri="{28A0092B-C50C-407E-A947-70E740481C1C}">
              <a14:useLocalDpi xmlns:a14="http://schemas.microsoft.com/office/drawing/2010/main" val="0"/>
            </a:ext>
          </a:extLst>
        </a:blip>
        <a:srcRect l="38785" t="31856" r="-135" b="12091"/>
        <a:stretch/>
      </xdr:blipFill>
      <xdr:spPr>
        <a:xfrm>
          <a:off x="3726263" y="146537"/>
          <a:ext cx="1570056" cy="29307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ORAPHEAL FARM" refreshedDate="44792.004161574077" createdVersion="8" refreshedVersion="8" minRefreshableVersion="3" recordCount="418" xr:uid="{D8945A9B-17AA-41CC-B306-BC6BF12CC68C}">
  <cacheSource type="worksheet">
    <worksheetSource name="tbl_figures"/>
  </cacheSource>
  <cacheFields count="14">
    <cacheField name="PassengerId" numFmtId="49">
      <sharedItems containsSemiMixedTypes="0" containsString="0" containsNumber="1" containsInteger="1" minValue="892" maxValue="1309"/>
    </cacheField>
    <cacheField name="Survived Code" numFmtId="0">
      <sharedItems containsSemiMixedTypes="0" containsString="0" containsNumber="1" containsInteger="1" minValue="0" maxValue="1" count="2">
        <n v="0"/>
        <n v="1"/>
      </sharedItems>
    </cacheField>
    <cacheField name="Survival Status" numFmtId="0">
      <sharedItems count="2">
        <s v="Dead"/>
        <s v="Survived"/>
      </sharedItems>
    </cacheField>
    <cacheField name="Pclass" numFmtId="0">
      <sharedItems containsMixedTypes="1" containsNumber="1" containsInteger="1" minValue="1" maxValue="3" count="6">
        <s v="3 Class"/>
        <s v="2 Class"/>
        <s v="1 Class"/>
        <n v="2" u="1"/>
        <n v="1" u="1"/>
        <n v="3" u="1"/>
      </sharedItems>
    </cacheField>
    <cacheField name="Full Name" numFmtId="0">
      <sharedItems/>
    </cacheField>
    <cacheField name="Sex" numFmtId="0">
      <sharedItems count="2">
        <s v="Male"/>
        <s v="Female"/>
      </sharedItems>
    </cacheField>
    <cacheField name="Age Range" numFmtId="0">
      <sharedItems count="13">
        <s v="Youth (20-39)"/>
        <s v="Adult (40-59)"/>
        <s v="Elders (60-Above)"/>
        <s v="Teens (0-19)"/>
        <s v="Adolesence" u="1"/>
        <s v="Teenagers (0-19)" u="1"/>
        <s v="Elderly (60-Above)" u="1"/>
        <s v="Adults" u="1"/>
        <s v="Elderly" u="1"/>
        <s v="Teenagers" u="1"/>
        <s v="Youth" u="1"/>
        <s v="Adult" u="1"/>
        <s v="Children" u="1"/>
      </sharedItems>
    </cacheField>
    <cacheField name="Age" numFmtId="1">
      <sharedItems containsSemiMixedTypes="0" containsString="0" containsNumber="1" minValue="0.17" maxValue="76"/>
    </cacheField>
    <cacheField name="SibSp" numFmtId="0">
      <sharedItems containsSemiMixedTypes="0" containsString="0" containsNumber="1" containsInteger="1" minValue="0" maxValue="8" count="7">
        <n v="0"/>
        <n v="1"/>
        <n v="2"/>
        <n v="3"/>
        <n v="4"/>
        <n v="5"/>
        <n v="8"/>
      </sharedItems>
    </cacheField>
    <cacheField name="Parch" numFmtId="0">
      <sharedItems containsSemiMixedTypes="0" containsString="0" containsNumber="1" containsInteger="1" minValue="0" maxValue="9" count="8">
        <n v="0"/>
        <n v="1"/>
        <n v="3"/>
        <n v="2"/>
        <n v="4"/>
        <n v="6"/>
        <n v="5"/>
        <n v="9"/>
      </sharedItems>
    </cacheField>
    <cacheField name="Ticket" numFmtId="0">
      <sharedItems containsMixedTypes="1" containsNumber="1" containsInteger="1" minValue="680" maxValue="3101298"/>
    </cacheField>
    <cacheField name="Fare" numFmtId="164">
      <sharedItems containsSemiMixedTypes="0" containsString="0" containsNumber="1" minValue="0" maxValue="512.32920000000001" count="176">
        <n v="7.8292000000000002"/>
        <n v="7"/>
        <n v="9.6875"/>
        <n v="8.6624999999999996"/>
        <n v="12.2875"/>
        <n v="9.2249999999999996"/>
        <n v="7.6292"/>
        <n v="29"/>
        <n v="7.2291999999999996"/>
        <n v="24.15"/>
        <n v="7.8958000000000004"/>
        <n v="26"/>
        <n v="82.2667"/>
        <n v="61.174999999999997"/>
        <n v="27.720800000000001"/>
        <n v="12.35"/>
        <n v="7.2249999999999996"/>
        <n v="7.9249999999999998"/>
        <n v="59.4"/>
        <n v="3.1707999999999998"/>
        <n v="31.683299999999999"/>
        <n v="61.379199999999997"/>
        <n v="262.375"/>
        <n v="14.5"/>
        <n v="61.979199999999999"/>
        <n v="30.5"/>
        <n v="21.679200000000002"/>
        <n v="31.5"/>
        <n v="20.574999999999999"/>
        <n v="23.45"/>
        <n v="57.75"/>
        <n v="8.0500000000000007"/>
        <n v="9.5"/>
        <n v="56.495800000000003"/>
        <n v="13.416700000000001"/>
        <n v="26.55"/>
        <n v="7.85"/>
        <n v="13"/>
        <n v="52.554200000000002"/>
        <n v="29.7"/>
        <n v="7.75"/>
        <n v="76.291700000000006"/>
        <n v="15.9"/>
        <n v="60"/>
        <n v="15.033300000000001"/>
        <n v="23"/>
        <n v="263"/>
        <n v="15.5792"/>
        <n v="29.125"/>
        <n v="7.65"/>
        <n v="16.100000000000001"/>
        <n v="13.5"/>
        <n v="7.7249999999999996"/>
        <n v="21"/>
        <n v="7.8792"/>
        <n v="42.4"/>
        <n v="28.537500000000001"/>
        <n v="211.5"/>
        <n v="25.7"/>
        <n v="15.245799999999999"/>
        <n v="221.7792"/>
        <n v="10.708299999999999"/>
        <n v="14.4542"/>
        <n v="13.9"/>
        <n v="7.7750000000000004"/>
        <n v="52"/>
        <n v="7.7957999999999998"/>
        <n v="78.849999999999994"/>
        <n v="7.8541999999999996"/>
        <n v="55.441699999999997"/>
        <n v="8.5167000000000002"/>
        <n v="22.524999999999999"/>
        <n v="7.8208000000000002"/>
        <n v="8.7125000000000004"/>
        <n v="15.0458"/>
        <n v="7.7792000000000003"/>
        <n v="31.679200000000002"/>
        <n v="7.2832999999999997"/>
        <n v="6.4375"/>
        <n v="16.7"/>
        <n v="75.241699999999994"/>
        <n v="15.75"/>
        <n v="7.25"/>
        <n v="23.25"/>
        <n v="28.5"/>
        <n v="25.466699999999999"/>
        <n v="46.9"/>
        <n v="151.55000000000001"/>
        <n v="18"/>
        <n v="51.862499999999997"/>
        <n v="83.158299999999997"/>
        <n v="35.627188489208599"/>
        <n v="12.183299999999999"/>
        <n v="31.387499999999999"/>
        <n v="7.55"/>
        <n v="13.775"/>
        <n v="7.7332999999999998"/>
        <n v="22.024999999999999"/>
        <n v="50.495800000000003"/>
        <n v="34.375"/>
        <n v="8.9625000000000004"/>
        <n v="39"/>
        <n v="36.75"/>
        <n v="53.1"/>
        <n v="247.52080000000001"/>
        <n v="16"/>
        <n v="69.55"/>
        <n v="32.5"/>
        <n v="134.5"/>
        <n v="10.5"/>
        <n v="8.1125000000000007"/>
        <n v="15.5"/>
        <n v="14.4"/>
        <n v="227.52500000000001"/>
        <n v="25.741700000000002"/>
        <n v="7.05"/>
        <n v="73.5"/>
        <n v="42.5"/>
        <n v="164.86670000000001"/>
        <n v="13.8583"/>
        <n v="27.445799999999998"/>
        <n v="15.1"/>
        <n v="65"/>
        <n v="6.4958"/>
        <n v="71.283299999999997"/>
        <n v="75.25"/>
        <n v="106.425"/>
        <n v="30"/>
        <n v="7.8875000000000002"/>
        <n v="27.75"/>
        <n v="136.7792"/>
        <n v="9.3249999999999993"/>
        <n v="17.399999999999999"/>
        <n v="12.737500000000001"/>
        <n v="0"/>
        <n v="20.212499999999999"/>
        <n v="39.6"/>
        <n v="6.95"/>
        <n v="81.8583"/>
        <n v="41.5792"/>
        <n v="45.5"/>
        <n v="9.35"/>
        <n v="93.5"/>
        <n v="14.1083"/>
        <n v="7.5750000000000002"/>
        <n v="135.63329999999999"/>
        <n v="146.52080000000001"/>
        <n v="211.33750000000001"/>
        <n v="79.2"/>
        <n v="15.7417"/>
        <n v="7.5792000000000002"/>
        <n v="512.32920000000001"/>
        <n v="63.3583"/>
        <n v="51.479199999999999"/>
        <n v="15.55"/>
        <n v="37.004199999999997"/>
        <n v="14.458299999999999"/>
        <n v="39.6875"/>
        <n v="11.5"/>
        <n v="50"/>
        <n v="12.875"/>
        <n v="21.074999999999999"/>
        <n v="39.4"/>
        <n v="20.25"/>
        <n v="47.1"/>
        <n v="13.862500000000001"/>
        <n v="7.7207999999999997"/>
        <n v="90"/>
        <n v="108.9"/>
        <n v="22.3583"/>
        <n v="35.627188488041583" u="1"/>
        <n v="35.627188489208592" u="1"/>
        <n v="35.541955980861211" u="1"/>
        <n v="35.626984583686237" u="1"/>
        <n v="35.627188489205807" u="1"/>
        <n v="35.627188001396341" u="1"/>
      </sharedItems>
    </cacheField>
    <cacheField name="Cabin" numFmtId="0">
      <sharedItems containsMixedTypes="1" containsNumber="1" containsInteger="1" minValue="0" maxValue="0"/>
    </cacheField>
    <cacheField name="Embarked" numFmtId="0">
      <sharedItems count="3">
        <s v="Queenstown"/>
        <s v="Southampton"/>
        <s v="Cherbourg"/>
      </sharedItems>
    </cacheField>
  </cacheFields>
  <extLst>
    <ext xmlns:x14="http://schemas.microsoft.com/office/spreadsheetml/2009/9/main" uri="{725AE2AE-9491-48be-B2B4-4EB974FC3084}">
      <x14:pivotCacheDefinition pivotCacheId="13294975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8">
  <r>
    <n v="892"/>
    <x v="0"/>
    <x v="0"/>
    <x v="0"/>
    <s v="Mr. James Kelly"/>
    <x v="0"/>
    <x v="0"/>
    <n v="34.5"/>
    <x v="0"/>
    <x v="0"/>
    <n v="330911"/>
    <x v="0"/>
    <n v="0"/>
    <x v="0"/>
  </r>
  <r>
    <n v="893"/>
    <x v="1"/>
    <x v="1"/>
    <x v="0"/>
    <s v="Mrs. James (Ellen Needs) Wilkes"/>
    <x v="1"/>
    <x v="1"/>
    <n v="47"/>
    <x v="1"/>
    <x v="0"/>
    <n v="363272"/>
    <x v="1"/>
    <n v="0"/>
    <x v="1"/>
  </r>
  <r>
    <n v="894"/>
    <x v="0"/>
    <x v="0"/>
    <x v="1"/>
    <s v="Mr. Thomas Francis Myles"/>
    <x v="0"/>
    <x v="2"/>
    <n v="62"/>
    <x v="0"/>
    <x v="0"/>
    <n v="240276"/>
    <x v="2"/>
    <n v="0"/>
    <x v="0"/>
  </r>
  <r>
    <n v="895"/>
    <x v="0"/>
    <x v="0"/>
    <x v="0"/>
    <s v="Mr. Albert Wirz"/>
    <x v="0"/>
    <x v="0"/>
    <n v="27"/>
    <x v="0"/>
    <x v="0"/>
    <n v="315154"/>
    <x v="3"/>
    <n v="0"/>
    <x v="1"/>
  </r>
  <r>
    <n v="896"/>
    <x v="1"/>
    <x v="1"/>
    <x v="0"/>
    <s v="Mrs. Alexander (Helga E Lindqvist) Hirvonen"/>
    <x v="1"/>
    <x v="0"/>
    <n v="22"/>
    <x v="1"/>
    <x v="1"/>
    <n v="3101298"/>
    <x v="4"/>
    <n v="0"/>
    <x v="1"/>
  </r>
  <r>
    <n v="897"/>
    <x v="0"/>
    <x v="0"/>
    <x v="0"/>
    <s v="Mr. Johan Cervin Svensson"/>
    <x v="0"/>
    <x v="3"/>
    <n v="14"/>
    <x v="0"/>
    <x v="0"/>
    <n v="7538"/>
    <x v="5"/>
    <n v="0"/>
    <x v="1"/>
  </r>
  <r>
    <n v="898"/>
    <x v="1"/>
    <x v="1"/>
    <x v="0"/>
    <s v="Miss. Kate Connolly"/>
    <x v="1"/>
    <x v="0"/>
    <n v="30"/>
    <x v="0"/>
    <x v="0"/>
    <n v="330972"/>
    <x v="6"/>
    <n v="0"/>
    <x v="0"/>
  </r>
  <r>
    <n v="899"/>
    <x v="0"/>
    <x v="0"/>
    <x v="1"/>
    <s v="Mr. Albert Francis Caldwell"/>
    <x v="0"/>
    <x v="0"/>
    <n v="26"/>
    <x v="1"/>
    <x v="1"/>
    <n v="248738"/>
    <x v="7"/>
    <n v="0"/>
    <x v="1"/>
  </r>
  <r>
    <n v="900"/>
    <x v="1"/>
    <x v="1"/>
    <x v="0"/>
    <s v="Mrs. Joseph (Sophie Halaut Easu) Abrahim"/>
    <x v="1"/>
    <x v="3"/>
    <n v="18"/>
    <x v="0"/>
    <x v="0"/>
    <n v="2657"/>
    <x v="8"/>
    <n v="0"/>
    <x v="2"/>
  </r>
  <r>
    <n v="901"/>
    <x v="0"/>
    <x v="0"/>
    <x v="0"/>
    <s v="Mr. John Samuel Davies"/>
    <x v="0"/>
    <x v="0"/>
    <n v="21"/>
    <x v="2"/>
    <x v="0"/>
    <s v="A/4 48871"/>
    <x v="9"/>
    <n v="0"/>
    <x v="1"/>
  </r>
  <r>
    <n v="902"/>
    <x v="0"/>
    <x v="0"/>
    <x v="0"/>
    <s v="Mr. Ylio Ilieff"/>
    <x v="0"/>
    <x v="0"/>
    <n v="30.272590187298931"/>
    <x v="0"/>
    <x v="0"/>
    <n v="349220"/>
    <x v="10"/>
    <n v="0"/>
    <x v="1"/>
  </r>
  <r>
    <n v="903"/>
    <x v="0"/>
    <x v="0"/>
    <x v="2"/>
    <s v="Mr. Charles Cresson Jones"/>
    <x v="0"/>
    <x v="1"/>
    <n v="46"/>
    <x v="0"/>
    <x v="0"/>
    <n v="694"/>
    <x v="11"/>
    <n v="0"/>
    <x v="1"/>
  </r>
  <r>
    <n v="904"/>
    <x v="1"/>
    <x v="1"/>
    <x v="2"/>
    <s v="Mrs. John Pillsbury (Nelle Stevenson) Snyder"/>
    <x v="1"/>
    <x v="0"/>
    <n v="23"/>
    <x v="1"/>
    <x v="0"/>
    <n v="21228"/>
    <x v="12"/>
    <s v="B45"/>
    <x v="1"/>
  </r>
  <r>
    <n v="905"/>
    <x v="0"/>
    <x v="0"/>
    <x v="1"/>
    <s v="Mr. Benjamin Howard"/>
    <x v="0"/>
    <x v="2"/>
    <n v="63"/>
    <x v="1"/>
    <x v="0"/>
    <n v="24065"/>
    <x v="11"/>
    <n v="0"/>
    <x v="1"/>
  </r>
  <r>
    <n v="906"/>
    <x v="1"/>
    <x v="1"/>
    <x v="2"/>
    <s v="Mrs. Herbert Fuller (Carrie Constance Toogood) Chaffee"/>
    <x v="1"/>
    <x v="1"/>
    <n v="47"/>
    <x v="1"/>
    <x v="0"/>
    <s v="W.E.P. 5734"/>
    <x v="13"/>
    <s v="E31"/>
    <x v="1"/>
  </r>
  <r>
    <n v="907"/>
    <x v="1"/>
    <x v="1"/>
    <x v="1"/>
    <s v="Mrs. Sebastiano (Argenia Genovesi) del Carlo"/>
    <x v="1"/>
    <x v="0"/>
    <n v="24"/>
    <x v="1"/>
    <x v="0"/>
    <s v="SC/PARIS 2167"/>
    <x v="14"/>
    <n v="0"/>
    <x v="2"/>
  </r>
  <r>
    <n v="908"/>
    <x v="0"/>
    <x v="0"/>
    <x v="1"/>
    <s v="Mr. Daniel Keane"/>
    <x v="0"/>
    <x v="0"/>
    <n v="35"/>
    <x v="0"/>
    <x v="0"/>
    <n v="233734"/>
    <x v="15"/>
    <n v="0"/>
    <x v="0"/>
  </r>
  <r>
    <n v="909"/>
    <x v="0"/>
    <x v="0"/>
    <x v="0"/>
    <s v="Mr. Gerios Assaf"/>
    <x v="0"/>
    <x v="0"/>
    <n v="21"/>
    <x v="0"/>
    <x v="0"/>
    <n v="2692"/>
    <x v="16"/>
    <n v="0"/>
    <x v="2"/>
  </r>
  <r>
    <n v="910"/>
    <x v="1"/>
    <x v="1"/>
    <x v="0"/>
    <s v="Miss. Ida Livija Ilmakangas"/>
    <x v="1"/>
    <x v="0"/>
    <n v="27"/>
    <x v="1"/>
    <x v="0"/>
    <s v="STON/O2. 3101270"/>
    <x v="17"/>
    <n v="0"/>
    <x v="1"/>
  </r>
  <r>
    <n v="911"/>
    <x v="1"/>
    <x v="1"/>
    <x v="0"/>
    <s v="Mrs. Mariana (Miriam&quot;)&quot; Assaf Khalil"/>
    <x v="1"/>
    <x v="1"/>
    <n v="45"/>
    <x v="0"/>
    <x v="0"/>
    <n v="2696"/>
    <x v="16"/>
    <n v="0"/>
    <x v="2"/>
  </r>
  <r>
    <n v="912"/>
    <x v="0"/>
    <x v="0"/>
    <x v="2"/>
    <s v="Mr. Martin Rothschild"/>
    <x v="0"/>
    <x v="1"/>
    <n v="55"/>
    <x v="1"/>
    <x v="0"/>
    <s v="PC 17603"/>
    <x v="18"/>
    <n v="0"/>
    <x v="2"/>
  </r>
  <r>
    <n v="913"/>
    <x v="0"/>
    <x v="0"/>
    <x v="0"/>
    <s v="Master. Artur Karl Olsen"/>
    <x v="0"/>
    <x v="3"/>
    <n v="9"/>
    <x v="0"/>
    <x v="1"/>
    <s v="C 17368"/>
    <x v="19"/>
    <n v="0"/>
    <x v="1"/>
  </r>
  <r>
    <n v="914"/>
    <x v="1"/>
    <x v="1"/>
    <x v="2"/>
    <s v="Mrs. Alfred (Antoinette) Flegenheim"/>
    <x v="1"/>
    <x v="0"/>
    <n v="30.272590187298931"/>
    <x v="0"/>
    <x v="0"/>
    <s v="PC 17598"/>
    <x v="20"/>
    <n v="0"/>
    <x v="1"/>
  </r>
  <r>
    <n v="915"/>
    <x v="0"/>
    <x v="0"/>
    <x v="2"/>
    <s v="Mr. Richard Norris II Williams"/>
    <x v="0"/>
    <x v="0"/>
    <n v="21"/>
    <x v="0"/>
    <x v="1"/>
    <s v="PC 17597"/>
    <x v="21"/>
    <n v="0"/>
    <x v="2"/>
  </r>
  <r>
    <n v="916"/>
    <x v="1"/>
    <x v="1"/>
    <x v="2"/>
    <s v="Mrs. Arthur Larned (Emily Maria Borie) Ryerson"/>
    <x v="1"/>
    <x v="1"/>
    <n v="48"/>
    <x v="1"/>
    <x v="2"/>
    <s v="PC 17608"/>
    <x v="22"/>
    <s v="B57 B59 B63 B66"/>
    <x v="2"/>
  </r>
  <r>
    <n v="917"/>
    <x v="0"/>
    <x v="0"/>
    <x v="0"/>
    <s v="Mr. Alexander A Robins"/>
    <x v="0"/>
    <x v="1"/>
    <n v="50"/>
    <x v="1"/>
    <x v="0"/>
    <s v="A/5. 3337"/>
    <x v="23"/>
    <n v="0"/>
    <x v="1"/>
  </r>
  <r>
    <n v="918"/>
    <x v="1"/>
    <x v="1"/>
    <x v="2"/>
    <s v="Miss. Helene Ragnhild Ostby"/>
    <x v="1"/>
    <x v="0"/>
    <n v="22"/>
    <x v="0"/>
    <x v="1"/>
    <n v="113509"/>
    <x v="24"/>
    <s v="B36"/>
    <x v="2"/>
  </r>
  <r>
    <n v="919"/>
    <x v="0"/>
    <x v="0"/>
    <x v="0"/>
    <s v="Mr. Shedid Daher"/>
    <x v="0"/>
    <x v="0"/>
    <n v="22.5"/>
    <x v="0"/>
    <x v="0"/>
    <n v="2698"/>
    <x v="16"/>
    <n v="0"/>
    <x v="2"/>
  </r>
  <r>
    <n v="920"/>
    <x v="0"/>
    <x v="0"/>
    <x v="2"/>
    <s v="Mr. John Bertram Brady"/>
    <x v="0"/>
    <x v="1"/>
    <n v="41"/>
    <x v="0"/>
    <x v="0"/>
    <n v="113054"/>
    <x v="25"/>
    <s v="A21"/>
    <x v="1"/>
  </r>
  <r>
    <n v="921"/>
    <x v="0"/>
    <x v="0"/>
    <x v="0"/>
    <s v="Mr. Elias Samaan"/>
    <x v="0"/>
    <x v="0"/>
    <n v="30.272590187298931"/>
    <x v="2"/>
    <x v="0"/>
    <n v="2662"/>
    <x v="26"/>
    <n v="0"/>
    <x v="2"/>
  </r>
  <r>
    <n v="922"/>
    <x v="0"/>
    <x v="0"/>
    <x v="1"/>
    <s v="Mr. Charles Alexander Louch"/>
    <x v="0"/>
    <x v="1"/>
    <n v="50"/>
    <x v="1"/>
    <x v="0"/>
    <s v="SC/AH 3085"/>
    <x v="11"/>
    <n v="0"/>
    <x v="1"/>
  </r>
  <r>
    <n v="923"/>
    <x v="0"/>
    <x v="0"/>
    <x v="1"/>
    <s v="Mr. Clifford Thomas Jefferys"/>
    <x v="0"/>
    <x v="0"/>
    <n v="24"/>
    <x v="2"/>
    <x v="0"/>
    <s v="C.A. 31029"/>
    <x v="27"/>
    <n v="0"/>
    <x v="1"/>
  </r>
  <r>
    <n v="924"/>
    <x v="1"/>
    <x v="1"/>
    <x v="0"/>
    <s v="Mrs. Bertram (Eva Georgetta Light) Dean"/>
    <x v="1"/>
    <x v="0"/>
    <n v="33"/>
    <x v="1"/>
    <x v="3"/>
    <s v="C.A. 2315"/>
    <x v="28"/>
    <n v="0"/>
    <x v="1"/>
  </r>
  <r>
    <n v="925"/>
    <x v="1"/>
    <x v="1"/>
    <x v="0"/>
    <s v="Mrs. Andrew G (Elizabeth Lily&quot; Watson)&quot; Johnston"/>
    <x v="1"/>
    <x v="0"/>
    <n v="30.272590187298931"/>
    <x v="1"/>
    <x v="3"/>
    <s v="W./C. 6607"/>
    <x v="29"/>
    <n v="0"/>
    <x v="1"/>
  </r>
  <r>
    <n v="926"/>
    <x v="0"/>
    <x v="0"/>
    <x v="2"/>
    <s v="Mr. Philipp Edmund Mock"/>
    <x v="0"/>
    <x v="0"/>
    <n v="30"/>
    <x v="1"/>
    <x v="0"/>
    <n v="13236"/>
    <x v="30"/>
    <s v="C78"/>
    <x v="2"/>
  </r>
  <r>
    <n v="927"/>
    <x v="0"/>
    <x v="0"/>
    <x v="0"/>
    <s v="Mr. Vassilios (Catavelas Vassilios&quot;)&quot; Katavelas"/>
    <x v="0"/>
    <x v="3"/>
    <n v="18.5"/>
    <x v="0"/>
    <x v="0"/>
    <n v="2682"/>
    <x v="8"/>
    <n v="0"/>
    <x v="2"/>
  </r>
  <r>
    <n v="928"/>
    <x v="1"/>
    <x v="1"/>
    <x v="0"/>
    <s v="Miss. Sarah A Roth"/>
    <x v="1"/>
    <x v="0"/>
    <n v="30.272590187298931"/>
    <x v="0"/>
    <x v="0"/>
    <n v="342712"/>
    <x v="31"/>
    <n v="0"/>
    <x v="1"/>
  </r>
  <r>
    <n v="929"/>
    <x v="1"/>
    <x v="1"/>
    <x v="0"/>
    <s v="Miss. Manda Cacic"/>
    <x v="1"/>
    <x v="0"/>
    <n v="21"/>
    <x v="0"/>
    <x v="0"/>
    <n v="315087"/>
    <x v="3"/>
    <n v="0"/>
    <x v="1"/>
  </r>
  <r>
    <n v="930"/>
    <x v="0"/>
    <x v="0"/>
    <x v="0"/>
    <s v="Mr. Julius Sap"/>
    <x v="0"/>
    <x v="0"/>
    <n v="25"/>
    <x v="0"/>
    <x v="0"/>
    <n v="345768"/>
    <x v="32"/>
    <n v="0"/>
    <x v="1"/>
  </r>
  <r>
    <n v="931"/>
    <x v="0"/>
    <x v="0"/>
    <x v="0"/>
    <s v="Mr. Ling Hee"/>
    <x v="0"/>
    <x v="0"/>
    <n v="30.272590187298931"/>
    <x v="0"/>
    <x v="0"/>
    <n v="1601"/>
    <x v="33"/>
    <n v="0"/>
    <x v="1"/>
  </r>
  <r>
    <n v="932"/>
    <x v="0"/>
    <x v="0"/>
    <x v="0"/>
    <s v="Mr. Franz Karun"/>
    <x v="0"/>
    <x v="0"/>
    <n v="39"/>
    <x v="0"/>
    <x v="1"/>
    <n v="349256"/>
    <x v="34"/>
    <n v="0"/>
    <x v="2"/>
  </r>
  <r>
    <n v="933"/>
    <x v="0"/>
    <x v="0"/>
    <x v="2"/>
    <s v="Mr. Thomas Parham Franklin"/>
    <x v="0"/>
    <x v="0"/>
    <n v="30.272590187298931"/>
    <x v="0"/>
    <x v="0"/>
    <n v="113778"/>
    <x v="35"/>
    <s v="D34"/>
    <x v="1"/>
  </r>
  <r>
    <n v="934"/>
    <x v="0"/>
    <x v="0"/>
    <x v="0"/>
    <s v="Mr. Nathan Goldsmith"/>
    <x v="0"/>
    <x v="1"/>
    <n v="41"/>
    <x v="0"/>
    <x v="0"/>
    <s v="SOTON/O.Q. 3101263"/>
    <x v="36"/>
    <n v="0"/>
    <x v="1"/>
  </r>
  <r>
    <n v="935"/>
    <x v="1"/>
    <x v="1"/>
    <x v="1"/>
    <s v="Mrs. Walter H (Irene Colvin) Corbett"/>
    <x v="1"/>
    <x v="0"/>
    <n v="30"/>
    <x v="0"/>
    <x v="0"/>
    <n v="237249"/>
    <x v="37"/>
    <n v="0"/>
    <x v="1"/>
  </r>
  <r>
    <n v="936"/>
    <x v="1"/>
    <x v="1"/>
    <x v="2"/>
    <s v="Mrs. Edwin Nelson Jr (Gertrude Parsons) Kimball"/>
    <x v="1"/>
    <x v="1"/>
    <n v="45"/>
    <x v="1"/>
    <x v="0"/>
    <n v="11753"/>
    <x v="38"/>
    <s v="D19"/>
    <x v="1"/>
  </r>
  <r>
    <n v="937"/>
    <x v="0"/>
    <x v="0"/>
    <x v="0"/>
    <s v="Mr. Nikolai Johannes Peltomaki"/>
    <x v="0"/>
    <x v="0"/>
    <n v="25"/>
    <x v="0"/>
    <x v="0"/>
    <s v="STON/O 2. 3101291"/>
    <x v="17"/>
    <n v="0"/>
    <x v="1"/>
  </r>
  <r>
    <n v="938"/>
    <x v="0"/>
    <x v="0"/>
    <x v="2"/>
    <s v="Mr. Paul Romaine Chevre"/>
    <x v="0"/>
    <x v="1"/>
    <n v="45"/>
    <x v="0"/>
    <x v="0"/>
    <s v="PC 17594"/>
    <x v="39"/>
    <s v="A9"/>
    <x v="2"/>
  </r>
  <r>
    <n v="939"/>
    <x v="0"/>
    <x v="0"/>
    <x v="0"/>
    <s v="Mr. Patrick Shaughnessy"/>
    <x v="0"/>
    <x v="0"/>
    <n v="30.272590187298931"/>
    <x v="0"/>
    <x v="0"/>
    <n v="370374"/>
    <x v="40"/>
    <n v="0"/>
    <x v="0"/>
  </r>
  <r>
    <n v="940"/>
    <x v="1"/>
    <x v="1"/>
    <x v="2"/>
    <s v="Mrs. William Robert (Emma Eliza Ward) Bucknell"/>
    <x v="1"/>
    <x v="2"/>
    <n v="60"/>
    <x v="0"/>
    <x v="0"/>
    <n v="11813"/>
    <x v="41"/>
    <s v="D15"/>
    <x v="2"/>
  </r>
  <r>
    <n v="941"/>
    <x v="1"/>
    <x v="1"/>
    <x v="0"/>
    <s v="Mrs. William (Winnie Minnie&quot; Treanor)&quot; Coutts"/>
    <x v="1"/>
    <x v="0"/>
    <n v="36"/>
    <x v="0"/>
    <x v="3"/>
    <s v="C.A. 37671"/>
    <x v="42"/>
    <n v="0"/>
    <x v="1"/>
  </r>
  <r>
    <n v="942"/>
    <x v="0"/>
    <x v="0"/>
    <x v="2"/>
    <s v="Mr. Lucien Philip Smith"/>
    <x v="0"/>
    <x v="0"/>
    <n v="24"/>
    <x v="1"/>
    <x v="0"/>
    <n v="13695"/>
    <x v="43"/>
    <s v="C31"/>
    <x v="1"/>
  </r>
  <r>
    <n v="943"/>
    <x v="0"/>
    <x v="0"/>
    <x v="1"/>
    <s v="Mr. Franz Pulbaum"/>
    <x v="0"/>
    <x v="0"/>
    <n v="27"/>
    <x v="0"/>
    <x v="0"/>
    <s v="SC/PARIS 2168"/>
    <x v="44"/>
    <n v="0"/>
    <x v="2"/>
  </r>
  <r>
    <n v="944"/>
    <x v="1"/>
    <x v="1"/>
    <x v="1"/>
    <s v="Miss. Ellen Nellie&quot;&quot; Hocking"/>
    <x v="1"/>
    <x v="0"/>
    <n v="20"/>
    <x v="2"/>
    <x v="1"/>
    <n v="29105"/>
    <x v="45"/>
    <n v="0"/>
    <x v="1"/>
  </r>
  <r>
    <n v="945"/>
    <x v="1"/>
    <x v="1"/>
    <x v="2"/>
    <s v="Miss. Ethel Flora Fortune"/>
    <x v="1"/>
    <x v="0"/>
    <n v="28"/>
    <x v="3"/>
    <x v="3"/>
    <n v="19950"/>
    <x v="46"/>
    <s v="C23 C25 C27"/>
    <x v="1"/>
  </r>
  <r>
    <n v="946"/>
    <x v="0"/>
    <x v="0"/>
    <x v="1"/>
    <s v="Mr. Serafino Emilio Mangiavacchi"/>
    <x v="0"/>
    <x v="0"/>
    <n v="30.272590187298931"/>
    <x v="0"/>
    <x v="0"/>
    <s v="SC/A.3 2861"/>
    <x v="47"/>
    <n v="0"/>
    <x v="2"/>
  </r>
  <r>
    <n v="947"/>
    <x v="0"/>
    <x v="0"/>
    <x v="0"/>
    <s v="Master. Albert Rice"/>
    <x v="0"/>
    <x v="3"/>
    <n v="10"/>
    <x v="4"/>
    <x v="1"/>
    <n v="382652"/>
    <x v="48"/>
    <n v="0"/>
    <x v="0"/>
  </r>
  <r>
    <n v="948"/>
    <x v="0"/>
    <x v="0"/>
    <x v="0"/>
    <s v="Mr. Bartol Cor"/>
    <x v="0"/>
    <x v="0"/>
    <n v="35"/>
    <x v="0"/>
    <x v="0"/>
    <n v="349230"/>
    <x v="10"/>
    <n v="0"/>
    <x v="1"/>
  </r>
  <r>
    <n v="949"/>
    <x v="0"/>
    <x v="0"/>
    <x v="0"/>
    <s v="Mr. Olaus Jorgensen Abelseth"/>
    <x v="0"/>
    <x v="0"/>
    <n v="25"/>
    <x v="0"/>
    <x v="0"/>
    <n v="348122"/>
    <x v="49"/>
    <s v="F G63"/>
    <x v="1"/>
  </r>
  <r>
    <n v="950"/>
    <x v="0"/>
    <x v="0"/>
    <x v="0"/>
    <s v="Mr. Thomas Henry Davison"/>
    <x v="0"/>
    <x v="0"/>
    <n v="30.272590187298931"/>
    <x v="1"/>
    <x v="0"/>
    <n v="386525"/>
    <x v="50"/>
    <n v="0"/>
    <x v="1"/>
  </r>
  <r>
    <n v="951"/>
    <x v="1"/>
    <x v="1"/>
    <x v="2"/>
    <s v="Miss. Victorine Chaudanson"/>
    <x v="1"/>
    <x v="0"/>
    <n v="36"/>
    <x v="0"/>
    <x v="0"/>
    <s v="PC 17608"/>
    <x v="22"/>
    <s v="B61"/>
    <x v="2"/>
  </r>
  <r>
    <n v="952"/>
    <x v="0"/>
    <x v="0"/>
    <x v="0"/>
    <s v="Mr. Mirko Dika"/>
    <x v="0"/>
    <x v="3"/>
    <n v="17"/>
    <x v="0"/>
    <x v="0"/>
    <n v="349232"/>
    <x v="10"/>
    <n v="0"/>
    <x v="1"/>
  </r>
  <r>
    <n v="953"/>
    <x v="0"/>
    <x v="0"/>
    <x v="1"/>
    <s v="Mr. Arthur Gordon McCrae"/>
    <x v="0"/>
    <x v="0"/>
    <n v="32"/>
    <x v="0"/>
    <x v="0"/>
    <n v="237216"/>
    <x v="51"/>
    <n v="0"/>
    <x v="1"/>
  </r>
  <r>
    <n v="954"/>
    <x v="0"/>
    <x v="0"/>
    <x v="0"/>
    <s v="Mr. Ernst Herbert Bjorklund"/>
    <x v="0"/>
    <x v="3"/>
    <n v="18"/>
    <x v="0"/>
    <x v="0"/>
    <n v="347090"/>
    <x v="40"/>
    <n v="0"/>
    <x v="1"/>
  </r>
  <r>
    <n v="955"/>
    <x v="1"/>
    <x v="1"/>
    <x v="0"/>
    <s v="Miss. Bridget Delia Bradley"/>
    <x v="1"/>
    <x v="0"/>
    <n v="22"/>
    <x v="0"/>
    <x v="0"/>
    <n v="334914"/>
    <x v="52"/>
    <n v="0"/>
    <x v="0"/>
  </r>
  <r>
    <n v="956"/>
    <x v="0"/>
    <x v="0"/>
    <x v="2"/>
    <s v="Master. John Borie Ryerson"/>
    <x v="0"/>
    <x v="3"/>
    <n v="13"/>
    <x v="2"/>
    <x v="3"/>
    <s v="PC 17608"/>
    <x v="22"/>
    <s v="B57 B59 B63 B66"/>
    <x v="2"/>
  </r>
  <r>
    <n v="957"/>
    <x v="1"/>
    <x v="1"/>
    <x v="1"/>
    <s v="Mrs. Percy C (Mary Phyllis Elizabeth Miller) Corey"/>
    <x v="1"/>
    <x v="0"/>
    <n v="30.272590187298931"/>
    <x v="0"/>
    <x v="0"/>
    <s v="F.C.C. 13534"/>
    <x v="53"/>
    <n v="0"/>
    <x v="1"/>
  </r>
  <r>
    <n v="958"/>
    <x v="1"/>
    <x v="1"/>
    <x v="0"/>
    <s v="Miss. Mary Delia Burns"/>
    <x v="1"/>
    <x v="3"/>
    <n v="18"/>
    <x v="0"/>
    <x v="0"/>
    <n v="330963"/>
    <x v="54"/>
    <n v="0"/>
    <x v="0"/>
  </r>
  <r>
    <n v="959"/>
    <x v="0"/>
    <x v="0"/>
    <x v="2"/>
    <s v="Mr. Clarence Bloomfield Moore"/>
    <x v="0"/>
    <x v="1"/>
    <n v="47"/>
    <x v="0"/>
    <x v="0"/>
    <n v="113796"/>
    <x v="55"/>
    <n v="0"/>
    <x v="1"/>
  </r>
  <r>
    <n v="960"/>
    <x v="0"/>
    <x v="0"/>
    <x v="2"/>
    <s v="Mr. Gilbert Milligan Jr Tucker"/>
    <x v="0"/>
    <x v="0"/>
    <n v="31"/>
    <x v="0"/>
    <x v="0"/>
    <n v="2543"/>
    <x v="56"/>
    <s v="C53"/>
    <x v="2"/>
  </r>
  <r>
    <n v="961"/>
    <x v="1"/>
    <x v="1"/>
    <x v="2"/>
    <s v="Mrs. Mark (Mary McDougald) Fortune"/>
    <x v="1"/>
    <x v="2"/>
    <n v="60"/>
    <x v="1"/>
    <x v="4"/>
    <n v="19950"/>
    <x v="46"/>
    <s v="C23 C25 C27"/>
    <x v="1"/>
  </r>
  <r>
    <n v="962"/>
    <x v="1"/>
    <x v="1"/>
    <x v="0"/>
    <s v="Miss. Bertha E Mulvihill"/>
    <x v="1"/>
    <x v="0"/>
    <n v="24"/>
    <x v="0"/>
    <x v="0"/>
    <n v="382653"/>
    <x v="40"/>
    <n v="0"/>
    <x v="0"/>
  </r>
  <r>
    <n v="963"/>
    <x v="0"/>
    <x v="0"/>
    <x v="0"/>
    <s v="Mr. Lazar Minkoff"/>
    <x v="0"/>
    <x v="0"/>
    <n v="21"/>
    <x v="0"/>
    <x v="0"/>
    <n v="349211"/>
    <x v="10"/>
    <n v="0"/>
    <x v="1"/>
  </r>
  <r>
    <n v="964"/>
    <x v="1"/>
    <x v="1"/>
    <x v="0"/>
    <s v="Miss. Manta Josefina Nieminen"/>
    <x v="1"/>
    <x v="0"/>
    <n v="29"/>
    <x v="0"/>
    <x v="0"/>
    <n v="3101297"/>
    <x v="17"/>
    <n v="0"/>
    <x v="1"/>
  </r>
  <r>
    <n v="965"/>
    <x v="0"/>
    <x v="0"/>
    <x v="2"/>
    <s v="Mr. Servando Ovies y Rodriguez"/>
    <x v="0"/>
    <x v="0"/>
    <n v="28.5"/>
    <x v="0"/>
    <x v="0"/>
    <s v="PC 17562"/>
    <x v="14"/>
    <s v="D43"/>
    <x v="2"/>
  </r>
  <r>
    <n v="966"/>
    <x v="1"/>
    <x v="1"/>
    <x v="2"/>
    <s v="Miss. Amalie Geiger"/>
    <x v="1"/>
    <x v="0"/>
    <n v="35"/>
    <x v="0"/>
    <x v="0"/>
    <n v="113503"/>
    <x v="57"/>
    <s v="C130"/>
    <x v="2"/>
  </r>
  <r>
    <n v="967"/>
    <x v="0"/>
    <x v="0"/>
    <x v="2"/>
    <s v="Mr. Edwin Keeping"/>
    <x v="0"/>
    <x v="0"/>
    <n v="32.5"/>
    <x v="0"/>
    <x v="0"/>
    <n v="113503"/>
    <x v="57"/>
    <s v="C132"/>
    <x v="2"/>
  </r>
  <r>
    <n v="968"/>
    <x v="0"/>
    <x v="0"/>
    <x v="0"/>
    <s v="Mr. Frank Miles"/>
    <x v="0"/>
    <x v="0"/>
    <n v="30.272590187298931"/>
    <x v="0"/>
    <x v="0"/>
    <n v="359306"/>
    <x v="31"/>
    <n v="0"/>
    <x v="1"/>
  </r>
  <r>
    <n v="969"/>
    <x v="1"/>
    <x v="1"/>
    <x v="2"/>
    <s v="Mrs. Robert Clifford (Malvina Helen Lamson) Cornell"/>
    <x v="1"/>
    <x v="1"/>
    <n v="55"/>
    <x v="2"/>
    <x v="0"/>
    <n v="11770"/>
    <x v="58"/>
    <s v="C101"/>
    <x v="1"/>
  </r>
  <r>
    <n v="970"/>
    <x v="0"/>
    <x v="0"/>
    <x v="1"/>
    <s v="Mr. Charles Augustus Aldworth"/>
    <x v="0"/>
    <x v="0"/>
    <n v="30"/>
    <x v="0"/>
    <x v="0"/>
    <n v="248744"/>
    <x v="37"/>
    <n v="0"/>
    <x v="1"/>
  </r>
  <r>
    <n v="971"/>
    <x v="1"/>
    <x v="1"/>
    <x v="0"/>
    <s v="Miss. Elizabeth Doyle"/>
    <x v="1"/>
    <x v="0"/>
    <n v="24"/>
    <x v="0"/>
    <x v="0"/>
    <n v="368702"/>
    <x v="40"/>
    <n v="0"/>
    <x v="0"/>
  </r>
  <r>
    <n v="972"/>
    <x v="0"/>
    <x v="0"/>
    <x v="0"/>
    <s v="Master. Akar Boulos"/>
    <x v="0"/>
    <x v="3"/>
    <n v="6"/>
    <x v="1"/>
    <x v="1"/>
    <n v="2678"/>
    <x v="59"/>
    <n v="0"/>
    <x v="2"/>
  </r>
  <r>
    <n v="973"/>
    <x v="0"/>
    <x v="0"/>
    <x v="2"/>
    <s v="Mr. Isidor Straus"/>
    <x v="0"/>
    <x v="2"/>
    <n v="67"/>
    <x v="1"/>
    <x v="0"/>
    <s v="PC 17483"/>
    <x v="60"/>
    <s v="C55 C57"/>
    <x v="1"/>
  </r>
  <r>
    <n v="974"/>
    <x v="0"/>
    <x v="0"/>
    <x v="2"/>
    <s v="Mr. Howard Brown Case"/>
    <x v="0"/>
    <x v="1"/>
    <n v="49"/>
    <x v="0"/>
    <x v="0"/>
    <n v="19924"/>
    <x v="11"/>
    <n v="0"/>
    <x v="1"/>
  </r>
  <r>
    <n v="975"/>
    <x v="0"/>
    <x v="0"/>
    <x v="0"/>
    <s v="Mr. Marinko Demetri"/>
    <x v="0"/>
    <x v="0"/>
    <n v="30.272590187298931"/>
    <x v="0"/>
    <x v="0"/>
    <n v="349238"/>
    <x v="10"/>
    <n v="0"/>
    <x v="1"/>
  </r>
  <r>
    <n v="976"/>
    <x v="0"/>
    <x v="0"/>
    <x v="1"/>
    <s v="Mr. John Joseph Lamb"/>
    <x v="0"/>
    <x v="0"/>
    <n v="30.272590187298931"/>
    <x v="0"/>
    <x v="0"/>
    <n v="240261"/>
    <x v="61"/>
    <n v="0"/>
    <x v="0"/>
  </r>
  <r>
    <n v="977"/>
    <x v="0"/>
    <x v="0"/>
    <x v="0"/>
    <s v="Mr. Betros Khalil"/>
    <x v="0"/>
    <x v="0"/>
    <n v="30.272590187298931"/>
    <x v="1"/>
    <x v="0"/>
    <n v="2660"/>
    <x v="62"/>
    <n v="0"/>
    <x v="2"/>
  </r>
  <r>
    <n v="978"/>
    <x v="1"/>
    <x v="1"/>
    <x v="0"/>
    <s v="Miss. Julia Barry"/>
    <x v="1"/>
    <x v="0"/>
    <n v="27"/>
    <x v="0"/>
    <x v="0"/>
    <n v="330844"/>
    <x v="54"/>
    <n v="0"/>
    <x v="0"/>
  </r>
  <r>
    <n v="979"/>
    <x v="1"/>
    <x v="1"/>
    <x v="0"/>
    <s v="Miss. Emily Louisa Badman"/>
    <x v="1"/>
    <x v="3"/>
    <n v="18"/>
    <x v="0"/>
    <x v="0"/>
    <s v="A/4 31416"/>
    <x v="31"/>
    <n v="0"/>
    <x v="1"/>
  </r>
  <r>
    <n v="980"/>
    <x v="1"/>
    <x v="1"/>
    <x v="0"/>
    <s v="Ms. Bridget O'Donoghue"/>
    <x v="1"/>
    <x v="0"/>
    <n v="30.272590187298931"/>
    <x v="0"/>
    <x v="0"/>
    <n v="364856"/>
    <x v="40"/>
    <n v="0"/>
    <x v="0"/>
  </r>
  <r>
    <n v="981"/>
    <x v="0"/>
    <x v="0"/>
    <x v="1"/>
    <s v="Master. Ralph Lester Wells"/>
    <x v="0"/>
    <x v="3"/>
    <n v="2"/>
    <x v="1"/>
    <x v="1"/>
    <n v="29103"/>
    <x v="45"/>
    <n v="0"/>
    <x v="1"/>
  </r>
  <r>
    <n v="982"/>
    <x v="1"/>
    <x v="1"/>
    <x v="0"/>
    <s v="Mrs. Adolf Fredrik (Anna Elisabeth Judith Andersson) Dyker"/>
    <x v="1"/>
    <x v="0"/>
    <n v="22"/>
    <x v="1"/>
    <x v="0"/>
    <n v="347072"/>
    <x v="63"/>
    <n v="0"/>
    <x v="1"/>
  </r>
  <r>
    <n v="983"/>
    <x v="0"/>
    <x v="0"/>
    <x v="0"/>
    <s v="Mr. Olaf Pedersen"/>
    <x v="0"/>
    <x v="0"/>
    <n v="30.272590187298931"/>
    <x v="0"/>
    <x v="0"/>
    <n v="345498"/>
    <x v="64"/>
    <n v="0"/>
    <x v="1"/>
  </r>
  <r>
    <n v="984"/>
    <x v="1"/>
    <x v="1"/>
    <x v="2"/>
    <s v="Mrs. Thornton (Orian Hays) Davidson"/>
    <x v="1"/>
    <x v="0"/>
    <n v="27"/>
    <x v="1"/>
    <x v="3"/>
    <s v="F.C. 12750"/>
    <x v="65"/>
    <s v="B71"/>
    <x v="1"/>
  </r>
  <r>
    <n v="985"/>
    <x v="0"/>
    <x v="0"/>
    <x v="0"/>
    <s v="Mr. Robert Guest"/>
    <x v="0"/>
    <x v="0"/>
    <n v="30.272590187298931"/>
    <x v="0"/>
    <x v="0"/>
    <n v="376563"/>
    <x v="31"/>
    <n v="0"/>
    <x v="1"/>
  </r>
  <r>
    <n v="986"/>
    <x v="0"/>
    <x v="0"/>
    <x v="2"/>
    <s v="Mr. Jakob Birnbaum"/>
    <x v="0"/>
    <x v="0"/>
    <n v="25"/>
    <x v="0"/>
    <x v="0"/>
    <n v="13905"/>
    <x v="11"/>
    <n v="0"/>
    <x v="2"/>
  </r>
  <r>
    <n v="987"/>
    <x v="0"/>
    <x v="0"/>
    <x v="0"/>
    <s v="Mr. Gunnar Isidor Tenglin"/>
    <x v="0"/>
    <x v="0"/>
    <n v="25"/>
    <x v="0"/>
    <x v="0"/>
    <n v="350033"/>
    <x v="66"/>
    <n v="0"/>
    <x v="1"/>
  </r>
  <r>
    <n v="988"/>
    <x v="1"/>
    <x v="1"/>
    <x v="2"/>
    <s v="Mrs. Tyrell William (Julia Florence Siegel) Cavendish"/>
    <x v="1"/>
    <x v="2"/>
    <n v="76"/>
    <x v="1"/>
    <x v="0"/>
    <n v="19877"/>
    <x v="67"/>
    <s v="C46"/>
    <x v="1"/>
  </r>
  <r>
    <n v="989"/>
    <x v="0"/>
    <x v="0"/>
    <x v="0"/>
    <s v="Mr. Kalle Edvard Makinen"/>
    <x v="0"/>
    <x v="0"/>
    <n v="29"/>
    <x v="0"/>
    <x v="0"/>
    <s v="STON/O 2. 3101268"/>
    <x v="17"/>
    <n v="0"/>
    <x v="1"/>
  </r>
  <r>
    <n v="990"/>
    <x v="1"/>
    <x v="1"/>
    <x v="0"/>
    <s v="Miss. Elin Ester Maria Braf"/>
    <x v="1"/>
    <x v="0"/>
    <n v="20"/>
    <x v="0"/>
    <x v="0"/>
    <n v="347471"/>
    <x v="68"/>
    <n v="0"/>
    <x v="1"/>
  </r>
  <r>
    <n v="991"/>
    <x v="0"/>
    <x v="0"/>
    <x v="0"/>
    <s v="Mr. William Henry Nancarrow"/>
    <x v="0"/>
    <x v="0"/>
    <n v="33"/>
    <x v="0"/>
    <x v="0"/>
    <s v="A./5. 3338"/>
    <x v="31"/>
    <n v="0"/>
    <x v="1"/>
  </r>
  <r>
    <n v="992"/>
    <x v="1"/>
    <x v="1"/>
    <x v="2"/>
    <s v="Mrs. Charles Emil Henry (Annie May Morris) Stengel"/>
    <x v="1"/>
    <x v="1"/>
    <n v="43"/>
    <x v="1"/>
    <x v="0"/>
    <n v="11778"/>
    <x v="69"/>
    <s v="C116"/>
    <x v="2"/>
  </r>
  <r>
    <n v="993"/>
    <x v="0"/>
    <x v="0"/>
    <x v="1"/>
    <s v="Mr. Leopold Weisz"/>
    <x v="0"/>
    <x v="0"/>
    <n v="27"/>
    <x v="1"/>
    <x v="0"/>
    <n v="228414"/>
    <x v="11"/>
    <n v="0"/>
    <x v="1"/>
  </r>
  <r>
    <n v="994"/>
    <x v="0"/>
    <x v="0"/>
    <x v="0"/>
    <s v="Mr. William Foley"/>
    <x v="0"/>
    <x v="0"/>
    <n v="30.272590187298931"/>
    <x v="0"/>
    <x v="0"/>
    <n v="365235"/>
    <x v="40"/>
    <n v="0"/>
    <x v="0"/>
  </r>
  <r>
    <n v="995"/>
    <x v="0"/>
    <x v="0"/>
    <x v="0"/>
    <s v="Mr. Oskar Leander Johansson Palmquist"/>
    <x v="0"/>
    <x v="0"/>
    <n v="26"/>
    <x v="0"/>
    <x v="0"/>
    <n v="347070"/>
    <x v="64"/>
    <n v="0"/>
    <x v="1"/>
  </r>
  <r>
    <n v="996"/>
    <x v="1"/>
    <x v="1"/>
    <x v="0"/>
    <s v="Mrs. Alexander (Thamine Thelma&quot;)&quot; Thomas"/>
    <x v="1"/>
    <x v="3"/>
    <n v="16"/>
    <x v="1"/>
    <x v="1"/>
    <n v="2625"/>
    <x v="70"/>
    <n v="0"/>
    <x v="2"/>
  </r>
  <r>
    <n v="997"/>
    <x v="0"/>
    <x v="0"/>
    <x v="0"/>
    <s v="Mr. Johan Martin Holthen"/>
    <x v="0"/>
    <x v="0"/>
    <n v="28"/>
    <x v="0"/>
    <x v="0"/>
    <s v="C 4001"/>
    <x v="71"/>
    <n v="0"/>
    <x v="1"/>
  </r>
  <r>
    <n v="998"/>
    <x v="0"/>
    <x v="0"/>
    <x v="0"/>
    <s v="Mr. Daniel Buckley"/>
    <x v="0"/>
    <x v="0"/>
    <n v="21"/>
    <x v="0"/>
    <x v="0"/>
    <n v="330920"/>
    <x v="72"/>
    <n v="0"/>
    <x v="0"/>
  </r>
  <r>
    <n v="999"/>
    <x v="0"/>
    <x v="0"/>
    <x v="0"/>
    <s v="Mr. Edward Ryan"/>
    <x v="0"/>
    <x v="0"/>
    <n v="30.272590187298931"/>
    <x v="0"/>
    <x v="0"/>
    <n v="383162"/>
    <x v="40"/>
    <n v="0"/>
    <x v="0"/>
  </r>
  <r>
    <n v="1000"/>
    <x v="0"/>
    <x v="0"/>
    <x v="0"/>
    <s v="Mr. Aaron (Abi Weller&quot;)&quot; Willer"/>
    <x v="0"/>
    <x v="0"/>
    <n v="30.272590187298931"/>
    <x v="0"/>
    <x v="0"/>
    <n v="3410"/>
    <x v="73"/>
    <n v="0"/>
    <x v="1"/>
  </r>
  <r>
    <n v="1001"/>
    <x v="0"/>
    <x v="0"/>
    <x v="1"/>
    <s v="Mr. George Swane"/>
    <x v="0"/>
    <x v="3"/>
    <n v="18.5"/>
    <x v="0"/>
    <x v="0"/>
    <n v="248734"/>
    <x v="37"/>
    <s v="F"/>
    <x v="1"/>
  </r>
  <r>
    <n v="1002"/>
    <x v="0"/>
    <x v="0"/>
    <x v="1"/>
    <s v="Mr. Samuel Ward Stanton"/>
    <x v="0"/>
    <x v="1"/>
    <n v="41"/>
    <x v="0"/>
    <x v="0"/>
    <n v="237734"/>
    <x v="74"/>
    <n v="0"/>
    <x v="2"/>
  </r>
  <r>
    <n v="1003"/>
    <x v="1"/>
    <x v="1"/>
    <x v="0"/>
    <s v="Miss. Ellen Natalia Shine"/>
    <x v="1"/>
    <x v="0"/>
    <n v="30.272590187298931"/>
    <x v="0"/>
    <x v="0"/>
    <n v="330968"/>
    <x v="75"/>
    <n v="0"/>
    <x v="0"/>
  </r>
  <r>
    <n v="1004"/>
    <x v="1"/>
    <x v="1"/>
    <x v="2"/>
    <s v="Miss. Edith Corse Evans"/>
    <x v="1"/>
    <x v="0"/>
    <n v="36"/>
    <x v="0"/>
    <x v="0"/>
    <s v="PC 17531"/>
    <x v="76"/>
    <s v="A29"/>
    <x v="2"/>
  </r>
  <r>
    <n v="1005"/>
    <x v="1"/>
    <x v="1"/>
    <x v="0"/>
    <s v="Miss. Katherine Buckley"/>
    <x v="1"/>
    <x v="3"/>
    <n v="18.5"/>
    <x v="0"/>
    <x v="0"/>
    <n v="329944"/>
    <x v="77"/>
    <n v="0"/>
    <x v="0"/>
  </r>
  <r>
    <n v="1006"/>
    <x v="1"/>
    <x v="1"/>
    <x v="2"/>
    <s v="Mrs. Isidor (Rosalie Ida Blun) Straus"/>
    <x v="1"/>
    <x v="2"/>
    <n v="63"/>
    <x v="1"/>
    <x v="0"/>
    <s v="PC 17483"/>
    <x v="60"/>
    <s v="C55 C57"/>
    <x v="1"/>
  </r>
  <r>
    <n v="1007"/>
    <x v="0"/>
    <x v="0"/>
    <x v="0"/>
    <s v="Mr. Demetrios Chronopoulos"/>
    <x v="0"/>
    <x v="3"/>
    <n v="18"/>
    <x v="1"/>
    <x v="0"/>
    <n v="2680"/>
    <x v="62"/>
    <n v="0"/>
    <x v="2"/>
  </r>
  <r>
    <n v="1008"/>
    <x v="0"/>
    <x v="0"/>
    <x v="0"/>
    <s v="Mr. John Thomas"/>
    <x v="0"/>
    <x v="0"/>
    <n v="30.272590187298931"/>
    <x v="0"/>
    <x v="0"/>
    <n v="2681"/>
    <x v="78"/>
    <n v="0"/>
    <x v="2"/>
  </r>
  <r>
    <n v="1009"/>
    <x v="1"/>
    <x v="1"/>
    <x v="0"/>
    <s v="Miss. Beatrice Irene Sandstrom"/>
    <x v="1"/>
    <x v="3"/>
    <n v="1"/>
    <x v="1"/>
    <x v="1"/>
    <s v="PP 9549"/>
    <x v="79"/>
    <s v="G6"/>
    <x v="1"/>
  </r>
  <r>
    <n v="1010"/>
    <x v="0"/>
    <x v="0"/>
    <x v="2"/>
    <s v="Mr. Thomson Beattie"/>
    <x v="0"/>
    <x v="0"/>
    <n v="36"/>
    <x v="0"/>
    <x v="0"/>
    <n v="13050"/>
    <x v="80"/>
    <s v="C6"/>
    <x v="2"/>
  </r>
  <r>
    <n v="1011"/>
    <x v="1"/>
    <x v="1"/>
    <x v="1"/>
    <s v="Mrs. John Henry (Sara Elizabeth Lawry) Chapman"/>
    <x v="1"/>
    <x v="0"/>
    <n v="29"/>
    <x v="1"/>
    <x v="0"/>
    <s v="SC/AH 29037"/>
    <x v="11"/>
    <n v="0"/>
    <x v="1"/>
  </r>
  <r>
    <n v="1012"/>
    <x v="1"/>
    <x v="1"/>
    <x v="1"/>
    <s v="Miss. Bertha J Watt"/>
    <x v="1"/>
    <x v="3"/>
    <n v="12"/>
    <x v="0"/>
    <x v="0"/>
    <s v="C.A. 33595"/>
    <x v="81"/>
    <n v="0"/>
    <x v="1"/>
  </r>
  <r>
    <n v="1013"/>
    <x v="0"/>
    <x v="0"/>
    <x v="0"/>
    <s v="Mr. John Kiernan"/>
    <x v="0"/>
    <x v="0"/>
    <n v="30.272590187298931"/>
    <x v="1"/>
    <x v="0"/>
    <n v="367227"/>
    <x v="40"/>
    <n v="0"/>
    <x v="0"/>
  </r>
  <r>
    <n v="1014"/>
    <x v="1"/>
    <x v="1"/>
    <x v="2"/>
    <s v="Mrs. Paul (Emma Mock) Schabert"/>
    <x v="1"/>
    <x v="0"/>
    <n v="35"/>
    <x v="1"/>
    <x v="0"/>
    <n v="13236"/>
    <x v="30"/>
    <s v="C28"/>
    <x v="2"/>
  </r>
  <r>
    <n v="1015"/>
    <x v="0"/>
    <x v="0"/>
    <x v="0"/>
    <s v="Mr. Alfred John Carver"/>
    <x v="0"/>
    <x v="0"/>
    <n v="28"/>
    <x v="0"/>
    <x v="0"/>
    <n v="392095"/>
    <x v="82"/>
    <n v="0"/>
    <x v="1"/>
  </r>
  <r>
    <n v="1016"/>
    <x v="0"/>
    <x v="0"/>
    <x v="0"/>
    <s v="Mr. John Kennedy"/>
    <x v="0"/>
    <x v="0"/>
    <n v="30.272590187298931"/>
    <x v="0"/>
    <x v="0"/>
    <n v="368783"/>
    <x v="40"/>
    <n v="0"/>
    <x v="0"/>
  </r>
  <r>
    <n v="1017"/>
    <x v="1"/>
    <x v="1"/>
    <x v="0"/>
    <s v="Miss. Laura Alice Cribb"/>
    <x v="1"/>
    <x v="3"/>
    <n v="17"/>
    <x v="0"/>
    <x v="1"/>
    <n v="371362"/>
    <x v="50"/>
    <n v="0"/>
    <x v="1"/>
  </r>
  <r>
    <n v="1018"/>
    <x v="0"/>
    <x v="0"/>
    <x v="0"/>
    <s v="Mr. Karl Rudolf Brobeck"/>
    <x v="0"/>
    <x v="0"/>
    <n v="22"/>
    <x v="0"/>
    <x v="0"/>
    <n v="350045"/>
    <x v="66"/>
    <n v="0"/>
    <x v="1"/>
  </r>
  <r>
    <n v="1019"/>
    <x v="1"/>
    <x v="1"/>
    <x v="0"/>
    <s v="Miss. Alicia McCoy"/>
    <x v="1"/>
    <x v="0"/>
    <n v="30.272590187298931"/>
    <x v="2"/>
    <x v="0"/>
    <n v="367226"/>
    <x v="83"/>
    <n v="0"/>
    <x v="0"/>
  </r>
  <r>
    <n v="1020"/>
    <x v="0"/>
    <x v="0"/>
    <x v="1"/>
    <s v="Mr. Solomon Bowenur"/>
    <x v="0"/>
    <x v="1"/>
    <n v="42"/>
    <x v="0"/>
    <x v="0"/>
    <n v="211535"/>
    <x v="37"/>
    <n v="0"/>
    <x v="1"/>
  </r>
  <r>
    <n v="1021"/>
    <x v="0"/>
    <x v="0"/>
    <x v="0"/>
    <s v="Mr. Marius Petersen"/>
    <x v="0"/>
    <x v="0"/>
    <n v="24"/>
    <x v="0"/>
    <x v="0"/>
    <n v="342441"/>
    <x v="31"/>
    <n v="0"/>
    <x v="1"/>
  </r>
  <r>
    <n v="1022"/>
    <x v="0"/>
    <x v="0"/>
    <x v="0"/>
    <s v="Mr. Henry John Spinner"/>
    <x v="0"/>
    <x v="0"/>
    <n v="32"/>
    <x v="0"/>
    <x v="0"/>
    <s v="STON/OQ. 369943"/>
    <x v="31"/>
    <n v="0"/>
    <x v="1"/>
  </r>
  <r>
    <n v="1023"/>
    <x v="0"/>
    <x v="0"/>
    <x v="2"/>
    <s v="Col. Archibald IV Gracie"/>
    <x v="0"/>
    <x v="1"/>
    <n v="53"/>
    <x v="0"/>
    <x v="0"/>
    <n v="113780"/>
    <x v="84"/>
    <s v="C51"/>
    <x v="2"/>
  </r>
  <r>
    <n v="1024"/>
    <x v="1"/>
    <x v="1"/>
    <x v="0"/>
    <s v="Mrs. Frank (Frances) Lefebre"/>
    <x v="1"/>
    <x v="0"/>
    <n v="30.272590187298931"/>
    <x v="0"/>
    <x v="4"/>
    <n v="4133"/>
    <x v="85"/>
    <n v="0"/>
    <x v="1"/>
  </r>
  <r>
    <n v="1025"/>
    <x v="0"/>
    <x v="0"/>
    <x v="0"/>
    <s v="Mr. Charles P Thomas"/>
    <x v="0"/>
    <x v="0"/>
    <n v="30.272590187298931"/>
    <x v="1"/>
    <x v="0"/>
    <n v="2621"/>
    <x v="78"/>
    <n v="0"/>
    <x v="2"/>
  </r>
  <r>
    <n v="1026"/>
    <x v="0"/>
    <x v="0"/>
    <x v="0"/>
    <s v="Mr. Valtcho Dintcheff"/>
    <x v="0"/>
    <x v="1"/>
    <n v="43"/>
    <x v="0"/>
    <x v="0"/>
    <n v="349226"/>
    <x v="10"/>
    <n v="0"/>
    <x v="1"/>
  </r>
  <r>
    <n v="1027"/>
    <x v="0"/>
    <x v="0"/>
    <x v="0"/>
    <s v="Mr. Carl Robert Carlsson"/>
    <x v="0"/>
    <x v="0"/>
    <n v="24"/>
    <x v="0"/>
    <x v="0"/>
    <n v="350409"/>
    <x v="68"/>
    <n v="0"/>
    <x v="1"/>
  </r>
  <r>
    <n v="1028"/>
    <x v="0"/>
    <x v="0"/>
    <x v="0"/>
    <s v="Mr. Mapriededer Zakarian"/>
    <x v="0"/>
    <x v="0"/>
    <n v="26.5"/>
    <x v="0"/>
    <x v="0"/>
    <n v="2656"/>
    <x v="16"/>
    <n v="0"/>
    <x v="2"/>
  </r>
  <r>
    <n v="1029"/>
    <x v="0"/>
    <x v="0"/>
    <x v="1"/>
    <s v="Mr. August Schmidt"/>
    <x v="0"/>
    <x v="0"/>
    <n v="26"/>
    <x v="0"/>
    <x v="0"/>
    <n v="248659"/>
    <x v="37"/>
    <n v="0"/>
    <x v="1"/>
  </r>
  <r>
    <n v="1030"/>
    <x v="1"/>
    <x v="1"/>
    <x v="0"/>
    <s v="Miss. Jennie Drapkin"/>
    <x v="1"/>
    <x v="0"/>
    <n v="23"/>
    <x v="0"/>
    <x v="0"/>
    <s v="SOTON/OQ 392083"/>
    <x v="31"/>
    <n v="0"/>
    <x v="1"/>
  </r>
  <r>
    <n v="1031"/>
    <x v="0"/>
    <x v="0"/>
    <x v="0"/>
    <s v="Mr. Charles Frederick Goodwin"/>
    <x v="0"/>
    <x v="1"/>
    <n v="40"/>
    <x v="1"/>
    <x v="5"/>
    <s v="CA 2144"/>
    <x v="86"/>
    <n v="0"/>
    <x v="1"/>
  </r>
  <r>
    <n v="1032"/>
    <x v="1"/>
    <x v="1"/>
    <x v="0"/>
    <s v="Miss. Jessie Allis Goodwin"/>
    <x v="1"/>
    <x v="3"/>
    <n v="10"/>
    <x v="5"/>
    <x v="3"/>
    <s v="CA 2144"/>
    <x v="86"/>
    <n v="0"/>
    <x v="1"/>
  </r>
  <r>
    <n v="1033"/>
    <x v="1"/>
    <x v="1"/>
    <x v="2"/>
    <s v="Miss. Sarah Daniels"/>
    <x v="1"/>
    <x v="0"/>
    <n v="33"/>
    <x v="0"/>
    <x v="0"/>
    <n v="113781"/>
    <x v="87"/>
    <n v="0"/>
    <x v="1"/>
  </r>
  <r>
    <n v="1034"/>
    <x v="0"/>
    <x v="0"/>
    <x v="2"/>
    <s v="Mr. Arthur Larned Ryerson"/>
    <x v="0"/>
    <x v="2"/>
    <n v="61"/>
    <x v="1"/>
    <x v="2"/>
    <s v="PC 17608"/>
    <x v="22"/>
    <s v="B57 B59 B63 B66"/>
    <x v="2"/>
  </r>
  <r>
    <n v="1035"/>
    <x v="0"/>
    <x v="0"/>
    <x v="1"/>
    <s v="Mr. Henry James Beauchamp"/>
    <x v="0"/>
    <x v="0"/>
    <n v="28"/>
    <x v="0"/>
    <x v="0"/>
    <n v="244358"/>
    <x v="11"/>
    <n v="0"/>
    <x v="1"/>
  </r>
  <r>
    <n v="1036"/>
    <x v="0"/>
    <x v="0"/>
    <x v="2"/>
    <s v="Mr. Erik Gustaf (Mr Edward Lingrey&quot;)&quot; Lindeberg-Lind"/>
    <x v="0"/>
    <x v="1"/>
    <n v="42"/>
    <x v="0"/>
    <x v="0"/>
    <n v="17475"/>
    <x v="35"/>
    <n v="0"/>
    <x v="1"/>
  </r>
  <r>
    <n v="1037"/>
    <x v="0"/>
    <x v="0"/>
    <x v="0"/>
    <s v="Mr. Julius Vander Planke"/>
    <x v="0"/>
    <x v="0"/>
    <n v="31"/>
    <x v="3"/>
    <x v="0"/>
    <n v="345763"/>
    <x v="88"/>
    <n v="0"/>
    <x v="1"/>
  </r>
  <r>
    <n v="1038"/>
    <x v="0"/>
    <x v="0"/>
    <x v="2"/>
    <s v="Mr. Herbert Henry Hilliard"/>
    <x v="0"/>
    <x v="0"/>
    <n v="30.272590187298931"/>
    <x v="0"/>
    <x v="0"/>
    <n v="17463"/>
    <x v="89"/>
    <s v="E46"/>
    <x v="1"/>
  </r>
  <r>
    <n v="1039"/>
    <x v="0"/>
    <x v="0"/>
    <x v="0"/>
    <s v="Mr. Evan Davies"/>
    <x v="0"/>
    <x v="0"/>
    <n v="22"/>
    <x v="0"/>
    <x v="0"/>
    <s v="SC/A4 23568"/>
    <x v="31"/>
    <n v="0"/>
    <x v="1"/>
  </r>
  <r>
    <n v="1040"/>
    <x v="0"/>
    <x v="0"/>
    <x v="2"/>
    <s v="Mr. John Bertram Crafton"/>
    <x v="0"/>
    <x v="0"/>
    <n v="30.272590187298931"/>
    <x v="0"/>
    <x v="0"/>
    <n v="113791"/>
    <x v="35"/>
    <n v="0"/>
    <x v="1"/>
  </r>
  <r>
    <n v="1041"/>
    <x v="0"/>
    <x v="0"/>
    <x v="1"/>
    <s v="Rev. William Lahtinen"/>
    <x v="0"/>
    <x v="0"/>
    <n v="30"/>
    <x v="1"/>
    <x v="1"/>
    <n v="250651"/>
    <x v="11"/>
    <n v="0"/>
    <x v="1"/>
  </r>
  <r>
    <n v="1042"/>
    <x v="1"/>
    <x v="1"/>
    <x v="2"/>
    <s v="Mrs. Boulton (Olive Potter) Earnshaw"/>
    <x v="1"/>
    <x v="0"/>
    <n v="23"/>
    <x v="0"/>
    <x v="1"/>
    <n v="11767"/>
    <x v="90"/>
    <s v="C54"/>
    <x v="2"/>
  </r>
  <r>
    <n v="1043"/>
    <x v="0"/>
    <x v="0"/>
    <x v="0"/>
    <s v="Mr. Nicola Matinoff"/>
    <x v="0"/>
    <x v="0"/>
    <n v="30.272590187298931"/>
    <x v="0"/>
    <x v="0"/>
    <n v="349255"/>
    <x v="10"/>
    <n v="0"/>
    <x v="2"/>
  </r>
  <r>
    <n v="1044"/>
    <x v="0"/>
    <x v="0"/>
    <x v="0"/>
    <s v="Mr. Thomas Storey"/>
    <x v="0"/>
    <x v="2"/>
    <n v="60.5"/>
    <x v="0"/>
    <x v="0"/>
    <n v="3701"/>
    <x v="91"/>
    <n v="0"/>
    <x v="1"/>
  </r>
  <r>
    <n v="1045"/>
    <x v="1"/>
    <x v="1"/>
    <x v="0"/>
    <s v="Mrs. (Hulda Kristina Eugenia Lofqvist) Klasen"/>
    <x v="1"/>
    <x v="0"/>
    <n v="36"/>
    <x v="0"/>
    <x v="3"/>
    <n v="350405"/>
    <x v="92"/>
    <n v="0"/>
    <x v="1"/>
  </r>
  <r>
    <n v="1046"/>
    <x v="0"/>
    <x v="0"/>
    <x v="0"/>
    <s v="Master. Filip Oscar Asplund"/>
    <x v="0"/>
    <x v="3"/>
    <n v="13"/>
    <x v="4"/>
    <x v="3"/>
    <n v="347077"/>
    <x v="93"/>
    <n v="0"/>
    <x v="1"/>
  </r>
  <r>
    <n v="1047"/>
    <x v="0"/>
    <x v="0"/>
    <x v="0"/>
    <s v="Mr. Joseph Duquemin"/>
    <x v="0"/>
    <x v="0"/>
    <n v="24"/>
    <x v="0"/>
    <x v="0"/>
    <s v="S.O./P.P. 752"/>
    <x v="94"/>
    <n v="0"/>
    <x v="1"/>
  </r>
  <r>
    <n v="1048"/>
    <x v="1"/>
    <x v="1"/>
    <x v="2"/>
    <s v="Miss. Ellen Bird"/>
    <x v="1"/>
    <x v="0"/>
    <n v="29"/>
    <x v="0"/>
    <x v="0"/>
    <s v="PC 17483"/>
    <x v="60"/>
    <s v="C97"/>
    <x v="1"/>
  </r>
  <r>
    <n v="1049"/>
    <x v="1"/>
    <x v="1"/>
    <x v="0"/>
    <s v="Miss. Olga Elida Lundin"/>
    <x v="1"/>
    <x v="0"/>
    <n v="23"/>
    <x v="0"/>
    <x v="0"/>
    <n v="347469"/>
    <x v="68"/>
    <n v="0"/>
    <x v="1"/>
  </r>
  <r>
    <n v="1050"/>
    <x v="0"/>
    <x v="0"/>
    <x v="2"/>
    <s v="Mr. John James Borebank"/>
    <x v="0"/>
    <x v="1"/>
    <n v="42"/>
    <x v="0"/>
    <x v="0"/>
    <n v="110489"/>
    <x v="35"/>
    <s v="D22"/>
    <x v="1"/>
  </r>
  <r>
    <n v="1051"/>
    <x v="1"/>
    <x v="1"/>
    <x v="0"/>
    <s v="Mrs. Benjamin (Edith Nile) Peacock"/>
    <x v="1"/>
    <x v="0"/>
    <n v="26"/>
    <x v="0"/>
    <x v="3"/>
    <s v="SOTON/O.Q. 3101315"/>
    <x v="95"/>
    <n v="0"/>
    <x v="1"/>
  </r>
  <r>
    <n v="1052"/>
    <x v="1"/>
    <x v="1"/>
    <x v="0"/>
    <s v="Miss. Julia Smyth"/>
    <x v="1"/>
    <x v="0"/>
    <n v="30.272590187298931"/>
    <x v="0"/>
    <x v="0"/>
    <n v="335432"/>
    <x v="96"/>
    <n v="0"/>
    <x v="0"/>
  </r>
  <r>
    <n v="1053"/>
    <x v="0"/>
    <x v="0"/>
    <x v="0"/>
    <s v="Master. Georges Youssef Touma"/>
    <x v="0"/>
    <x v="3"/>
    <n v="7"/>
    <x v="1"/>
    <x v="1"/>
    <n v="2650"/>
    <x v="59"/>
    <n v="0"/>
    <x v="2"/>
  </r>
  <r>
    <n v="1054"/>
    <x v="1"/>
    <x v="1"/>
    <x v="1"/>
    <s v="Miss. Marion Wright"/>
    <x v="1"/>
    <x v="0"/>
    <n v="26"/>
    <x v="0"/>
    <x v="0"/>
    <n v="220844"/>
    <x v="51"/>
    <n v="0"/>
    <x v="1"/>
  </r>
  <r>
    <n v="1055"/>
    <x v="0"/>
    <x v="0"/>
    <x v="0"/>
    <s v="Mr. Ernest Pearce"/>
    <x v="0"/>
    <x v="0"/>
    <n v="30.272590187298931"/>
    <x v="0"/>
    <x v="0"/>
    <n v="343271"/>
    <x v="1"/>
    <n v="0"/>
    <x v="1"/>
  </r>
  <r>
    <n v="1056"/>
    <x v="0"/>
    <x v="0"/>
    <x v="1"/>
    <s v="Rev. Joseph Maria Peruschitz"/>
    <x v="0"/>
    <x v="1"/>
    <n v="41"/>
    <x v="0"/>
    <x v="0"/>
    <n v="237393"/>
    <x v="37"/>
    <n v="0"/>
    <x v="1"/>
  </r>
  <r>
    <n v="1057"/>
    <x v="1"/>
    <x v="1"/>
    <x v="0"/>
    <s v="Mrs. Anton (Luise Heilmann) Kink-Heilmann"/>
    <x v="1"/>
    <x v="0"/>
    <n v="26"/>
    <x v="1"/>
    <x v="1"/>
    <n v="315153"/>
    <x v="97"/>
    <n v="0"/>
    <x v="1"/>
  </r>
  <r>
    <n v="1058"/>
    <x v="0"/>
    <x v="0"/>
    <x v="2"/>
    <s v="Mr. Emil Brandeis"/>
    <x v="0"/>
    <x v="1"/>
    <n v="48"/>
    <x v="0"/>
    <x v="0"/>
    <s v="PC 17591"/>
    <x v="98"/>
    <s v="B10"/>
    <x v="2"/>
  </r>
  <r>
    <n v="1059"/>
    <x v="0"/>
    <x v="0"/>
    <x v="0"/>
    <s v="Mr. Edward Watson Ford"/>
    <x v="0"/>
    <x v="3"/>
    <n v="18"/>
    <x v="2"/>
    <x v="3"/>
    <s v="W./C. 6608"/>
    <x v="99"/>
    <n v="0"/>
    <x v="1"/>
  </r>
  <r>
    <n v="1060"/>
    <x v="1"/>
    <x v="1"/>
    <x v="2"/>
    <s v="Mrs. Henry Arthur Jr (Eleanor Genevieve Fosdick) Cassebeer"/>
    <x v="1"/>
    <x v="0"/>
    <n v="30.272590187298931"/>
    <x v="0"/>
    <x v="0"/>
    <n v="17770"/>
    <x v="14"/>
    <n v="0"/>
    <x v="2"/>
  </r>
  <r>
    <n v="1061"/>
    <x v="1"/>
    <x v="1"/>
    <x v="0"/>
    <s v="Miss. Hilda Maria Hellstrom"/>
    <x v="1"/>
    <x v="0"/>
    <n v="22"/>
    <x v="0"/>
    <x v="0"/>
    <n v="7548"/>
    <x v="100"/>
    <n v="0"/>
    <x v="1"/>
  </r>
  <r>
    <n v="1062"/>
    <x v="0"/>
    <x v="0"/>
    <x v="0"/>
    <s v="Mr. Simon Lithman"/>
    <x v="0"/>
    <x v="0"/>
    <n v="30.272590187298931"/>
    <x v="0"/>
    <x v="0"/>
    <s v="S.O./P.P. 251"/>
    <x v="94"/>
    <n v="0"/>
    <x v="1"/>
  </r>
  <r>
    <n v="1063"/>
    <x v="0"/>
    <x v="0"/>
    <x v="0"/>
    <s v="Mr. Ortin Zakarian"/>
    <x v="0"/>
    <x v="0"/>
    <n v="27"/>
    <x v="0"/>
    <x v="0"/>
    <n v="2670"/>
    <x v="16"/>
    <n v="0"/>
    <x v="2"/>
  </r>
  <r>
    <n v="1064"/>
    <x v="0"/>
    <x v="0"/>
    <x v="0"/>
    <s v="Mr. Adolf Fredrik Dyker"/>
    <x v="0"/>
    <x v="0"/>
    <n v="23"/>
    <x v="1"/>
    <x v="0"/>
    <n v="347072"/>
    <x v="63"/>
    <n v="0"/>
    <x v="1"/>
  </r>
  <r>
    <n v="1065"/>
    <x v="0"/>
    <x v="0"/>
    <x v="0"/>
    <s v="Mr. Assad Torfa"/>
    <x v="0"/>
    <x v="0"/>
    <n v="30.272590187298931"/>
    <x v="0"/>
    <x v="0"/>
    <n v="2673"/>
    <x v="8"/>
    <n v="0"/>
    <x v="2"/>
  </r>
  <r>
    <n v="1066"/>
    <x v="0"/>
    <x v="0"/>
    <x v="0"/>
    <s v="Mr. Carl Oscar Vilhelm Gustafsson Asplund"/>
    <x v="0"/>
    <x v="1"/>
    <n v="40"/>
    <x v="1"/>
    <x v="6"/>
    <n v="347077"/>
    <x v="93"/>
    <n v="0"/>
    <x v="1"/>
  </r>
  <r>
    <n v="1067"/>
    <x v="1"/>
    <x v="1"/>
    <x v="1"/>
    <s v="Miss. Edith Eileen Brown"/>
    <x v="1"/>
    <x v="3"/>
    <n v="15"/>
    <x v="0"/>
    <x v="3"/>
    <n v="29750"/>
    <x v="101"/>
    <n v="0"/>
    <x v="1"/>
  </r>
  <r>
    <n v="1068"/>
    <x v="1"/>
    <x v="1"/>
    <x v="1"/>
    <s v="Miss. Maude Sincock"/>
    <x v="1"/>
    <x v="0"/>
    <n v="20"/>
    <x v="0"/>
    <x v="0"/>
    <s v="C.A. 33112"/>
    <x v="102"/>
    <n v="0"/>
    <x v="1"/>
  </r>
  <r>
    <n v="1069"/>
    <x v="0"/>
    <x v="0"/>
    <x v="2"/>
    <s v="Mr. Charles Emil Henry Stengel"/>
    <x v="0"/>
    <x v="1"/>
    <n v="54"/>
    <x v="1"/>
    <x v="0"/>
    <n v="11778"/>
    <x v="69"/>
    <s v="C116"/>
    <x v="2"/>
  </r>
  <r>
    <n v="1070"/>
    <x v="1"/>
    <x v="1"/>
    <x v="1"/>
    <s v="Mrs. Allen Oliver (Nellie E Baumgardner) Becker"/>
    <x v="1"/>
    <x v="0"/>
    <n v="36"/>
    <x v="0"/>
    <x v="2"/>
    <n v="230136"/>
    <x v="101"/>
    <s v="F4"/>
    <x v="1"/>
  </r>
  <r>
    <n v="1071"/>
    <x v="1"/>
    <x v="1"/>
    <x v="2"/>
    <s v="Mrs. Alexander Taylor (Mary Eliza Ingersoll) Compton"/>
    <x v="1"/>
    <x v="2"/>
    <n v="64"/>
    <x v="0"/>
    <x v="3"/>
    <s v="PC 17756"/>
    <x v="90"/>
    <s v="E45"/>
    <x v="2"/>
  </r>
  <r>
    <n v="1072"/>
    <x v="0"/>
    <x v="0"/>
    <x v="1"/>
    <s v="Mr. James Matthew McCrie"/>
    <x v="0"/>
    <x v="0"/>
    <n v="30"/>
    <x v="0"/>
    <x v="0"/>
    <n v="233478"/>
    <x v="37"/>
    <n v="0"/>
    <x v="1"/>
  </r>
  <r>
    <n v="1073"/>
    <x v="0"/>
    <x v="0"/>
    <x v="2"/>
    <s v="Mr. Alexander Taylor Jr Compton"/>
    <x v="0"/>
    <x v="0"/>
    <n v="37"/>
    <x v="1"/>
    <x v="1"/>
    <s v="PC 17756"/>
    <x v="90"/>
    <s v="E52"/>
    <x v="2"/>
  </r>
  <r>
    <n v="1074"/>
    <x v="1"/>
    <x v="1"/>
    <x v="2"/>
    <s v="Mrs. Daniel Warner (Mary Graham Carmichael Farquarson) Marvin"/>
    <x v="1"/>
    <x v="3"/>
    <n v="18"/>
    <x v="1"/>
    <x v="0"/>
    <n v="113773"/>
    <x v="103"/>
    <s v="D30"/>
    <x v="1"/>
  </r>
  <r>
    <n v="1075"/>
    <x v="0"/>
    <x v="0"/>
    <x v="0"/>
    <s v="Mr. Patrick Lane"/>
    <x v="0"/>
    <x v="0"/>
    <n v="30.272590187298931"/>
    <x v="0"/>
    <x v="0"/>
    <n v="7935"/>
    <x v="40"/>
    <n v="0"/>
    <x v="0"/>
  </r>
  <r>
    <n v="1076"/>
    <x v="1"/>
    <x v="1"/>
    <x v="2"/>
    <s v="Mrs. Frederick Charles (Mary Helene Baxter) Douglas"/>
    <x v="1"/>
    <x v="0"/>
    <n v="27"/>
    <x v="1"/>
    <x v="1"/>
    <s v="PC 17558"/>
    <x v="104"/>
    <s v="B58 B60"/>
    <x v="2"/>
  </r>
  <r>
    <n v="1077"/>
    <x v="0"/>
    <x v="0"/>
    <x v="1"/>
    <s v="Mr. Frank Hubert Maybery"/>
    <x v="0"/>
    <x v="1"/>
    <n v="40"/>
    <x v="0"/>
    <x v="0"/>
    <n v="239059"/>
    <x v="105"/>
    <n v="0"/>
    <x v="1"/>
  </r>
  <r>
    <n v="1078"/>
    <x v="1"/>
    <x v="1"/>
    <x v="1"/>
    <s v="Miss. Alice Frances Louisa Phillips"/>
    <x v="1"/>
    <x v="0"/>
    <n v="21"/>
    <x v="0"/>
    <x v="1"/>
    <s v="S.O./P.P. 2"/>
    <x v="53"/>
    <n v="0"/>
    <x v="1"/>
  </r>
  <r>
    <n v="1079"/>
    <x v="0"/>
    <x v="0"/>
    <x v="0"/>
    <s v="Mr. Joseph Davies"/>
    <x v="0"/>
    <x v="3"/>
    <n v="17"/>
    <x v="2"/>
    <x v="0"/>
    <s v="A/4 48873"/>
    <x v="31"/>
    <n v="0"/>
    <x v="1"/>
  </r>
  <r>
    <n v="1080"/>
    <x v="1"/>
    <x v="1"/>
    <x v="0"/>
    <s v="Miss. Ada Sage"/>
    <x v="1"/>
    <x v="0"/>
    <n v="30.272590187298931"/>
    <x v="6"/>
    <x v="3"/>
    <s v="CA. 2343"/>
    <x v="106"/>
    <n v="0"/>
    <x v="1"/>
  </r>
  <r>
    <n v="1081"/>
    <x v="0"/>
    <x v="0"/>
    <x v="1"/>
    <s v="Mr. James Veal"/>
    <x v="0"/>
    <x v="1"/>
    <n v="40"/>
    <x v="0"/>
    <x v="0"/>
    <n v="28221"/>
    <x v="37"/>
    <n v="0"/>
    <x v="1"/>
  </r>
  <r>
    <n v="1082"/>
    <x v="0"/>
    <x v="0"/>
    <x v="1"/>
    <s v="Mr. William A Angle"/>
    <x v="0"/>
    <x v="0"/>
    <n v="34"/>
    <x v="1"/>
    <x v="0"/>
    <n v="226875"/>
    <x v="11"/>
    <n v="0"/>
    <x v="1"/>
  </r>
  <r>
    <n v="1083"/>
    <x v="0"/>
    <x v="0"/>
    <x v="2"/>
    <s v="Mr. Abraham L Salomon"/>
    <x v="0"/>
    <x v="0"/>
    <n v="30.272590187298931"/>
    <x v="0"/>
    <x v="0"/>
    <n v="111163"/>
    <x v="11"/>
    <n v="0"/>
    <x v="1"/>
  </r>
  <r>
    <n v="1084"/>
    <x v="0"/>
    <x v="0"/>
    <x v="0"/>
    <s v="Master. Walter John van Billiard"/>
    <x v="0"/>
    <x v="3"/>
    <n v="11.5"/>
    <x v="1"/>
    <x v="1"/>
    <s v="A/5. 851"/>
    <x v="23"/>
    <n v="0"/>
    <x v="1"/>
  </r>
  <r>
    <n v="1085"/>
    <x v="0"/>
    <x v="0"/>
    <x v="1"/>
    <s v="Mr. John Lingane"/>
    <x v="0"/>
    <x v="2"/>
    <n v="61"/>
    <x v="0"/>
    <x v="0"/>
    <n v="235509"/>
    <x v="15"/>
    <n v="0"/>
    <x v="0"/>
  </r>
  <r>
    <n v="1086"/>
    <x v="0"/>
    <x v="0"/>
    <x v="1"/>
    <s v="Master. Marshall Brines Drew"/>
    <x v="0"/>
    <x v="3"/>
    <n v="8"/>
    <x v="0"/>
    <x v="3"/>
    <n v="28220"/>
    <x v="107"/>
    <n v="0"/>
    <x v="1"/>
  </r>
  <r>
    <n v="1087"/>
    <x v="0"/>
    <x v="0"/>
    <x v="0"/>
    <s v="Mr. Julius Konrad Eugen Karlsson"/>
    <x v="0"/>
    <x v="0"/>
    <n v="33"/>
    <x v="0"/>
    <x v="0"/>
    <n v="347465"/>
    <x v="68"/>
    <n v="0"/>
    <x v="1"/>
  </r>
  <r>
    <n v="1088"/>
    <x v="0"/>
    <x v="0"/>
    <x v="2"/>
    <s v="Master. Robert Douglas Spedden"/>
    <x v="0"/>
    <x v="3"/>
    <n v="6"/>
    <x v="0"/>
    <x v="3"/>
    <n v="16966"/>
    <x v="108"/>
    <s v="E34"/>
    <x v="2"/>
  </r>
  <r>
    <n v="1089"/>
    <x v="1"/>
    <x v="1"/>
    <x v="0"/>
    <s v="Miss. Berta Olivia Nilsson"/>
    <x v="1"/>
    <x v="3"/>
    <n v="18"/>
    <x v="0"/>
    <x v="0"/>
    <n v="347066"/>
    <x v="64"/>
    <n v="0"/>
    <x v="1"/>
  </r>
  <r>
    <n v="1090"/>
    <x v="0"/>
    <x v="0"/>
    <x v="1"/>
    <s v="Mr. Charles Robert Baimbrigge"/>
    <x v="0"/>
    <x v="0"/>
    <n v="23"/>
    <x v="0"/>
    <x v="0"/>
    <s v="C.A. 31030"/>
    <x v="109"/>
    <n v="0"/>
    <x v="1"/>
  </r>
  <r>
    <n v="1091"/>
    <x v="1"/>
    <x v="1"/>
    <x v="0"/>
    <s v="Mrs. (Lena Jacobsen Solvang) Rasmussen"/>
    <x v="1"/>
    <x v="0"/>
    <n v="30.272590187298931"/>
    <x v="0"/>
    <x v="0"/>
    <n v="65305"/>
    <x v="110"/>
    <n v="0"/>
    <x v="1"/>
  </r>
  <r>
    <n v="1092"/>
    <x v="1"/>
    <x v="1"/>
    <x v="0"/>
    <s v="Miss. Nora Murphy"/>
    <x v="1"/>
    <x v="0"/>
    <n v="30.272590187298931"/>
    <x v="0"/>
    <x v="0"/>
    <n v="36568"/>
    <x v="111"/>
    <n v="0"/>
    <x v="0"/>
  </r>
  <r>
    <n v="1093"/>
    <x v="0"/>
    <x v="0"/>
    <x v="0"/>
    <s v="Master. Gilbert Sigvard Emanuel Danbom"/>
    <x v="0"/>
    <x v="3"/>
    <n v="0.33"/>
    <x v="0"/>
    <x v="3"/>
    <n v="347080"/>
    <x v="112"/>
    <n v="0"/>
    <x v="1"/>
  </r>
  <r>
    <n v="1094"/>
    <x v="0"/>
    <x v="0"/>
    <x v="2"/>
    <s v="Col. John Jacob Astor"/>
    <x v="0"/>
    <x v="1"/>
    <n v="47"/>
    <x v="1"/>
    <x v="0"/>
    <s v="PC 17757"/>
    <x v="113"/>
    <s v="C62 C64"/>
    <x v="2"/>
  </r>
  <r>
    <n v="1095"/>
    <x v="1"/>
    <x v="1"/>
    <x v="1"/>
    <s v="Miss. Winifred Vera Quick"/>
    <x v="1"/>
    <x v="3"/>
    <n v="8"/>
    <x v="1"/>
    <x v="1"/>
    <n v="26360"/>
    <x v="11"/>
    <n v="0"/>
    <x v="1"/>
  </r>
  <r>
    <n v="1096"/>
    <x v="0"/>
    <x v="0"/>
    <x v="1"/>
    <s v="Mr. Frank Thomas Andrew"/>
    <x v="0"/>
    <x v="0"/>
    <n v="25"/>
    <x v="0"/>
    <x v="0"/>
    <s v="C.A. 34050"/>
    <x v="109"/>
    <n v="0"/>
    <x v="1"/>
  </r>
  <r>
    <n v="1097"/>
    <x v="0"/>
    <x v="0"/>
    <x v="2"/>
    <s v="Mr. Alfred Fernand Omont"/>
    <x v="0"/>
    <x v="0"/>
    <n v="30.272590187298931"/>
    <x v="0"/>
    <x v="0"/>
    <s v="F.C. 12998"/>
    <x v="114"/>
    <n v="0"/>
    <x v="2"/>
  </r>
  <r>
    <n v="1098"/>
    <x v="1"/>
    <x v="1"/>
    <x v="0"/>
    <s v="Miss. Katherine McGowan"/>
    <x v="1"/>
    <x v="0"/>
    <n v="35"/>
    <x v="0"/>
    <x v="0"/>
    <n v="9232"/>
    <x v="40"/>
    <n v="0"/>
    <x v="0"/>
  </r>
  <r>
    <n v="1099"/>
    <x v="0"/>
    <x v="0"/>
    <x v="1"/>
    <s v="Mr. Sidney C Stuart Collett"/>
    <x v="0"/>
    <x v="0"/>
    <n v="24"/>
    <x v="0"/>
    <x v="0"/>
    <n v="28034"/>
    <x v="109"/>
    <n v="0"/>
    <x v="1"/>
  </r>
  <r>
    <n v="1100"/>
    <x v="1"/>
    <x v="1"/>
    <x v="2"/>
    <s v="Miss. Edith Louise Rosenbaum"/>
    <x v="1"/>
    <x v="0"/>
    <n v="33"/>
    <x v="0"/>
    <x v="0"/>
    <s v="PC 17613"/>
    <x v="14"/>
    <s v="A11"/>
    <x v="2"/>
  </r>
  <r>
    <n v="1101"/>
    <x v="0"/>
    <x v="0"/>
    <x v="0"/>
    <s v="Mr. Redjo Delalic"/>
    <x v="0"/>
    <x v="0"/>
    <n v="25"/>
    <x v="0"/>
    <x v="0"/>
    <n v="349250"/>
    <x v="10"/>
    <n v="0"/>
    <x v="1"/>
  </r>
  <r>
    <n v="1102"/>
    <x v="0"/>
    <x v="0"/>
    <x v="0"/>
    <s v="Mr. Albert Karvin Andersen"/>
    <x v="0"/>
    <x v="0"/>
    <n v="32"/>
    <x v="0"/>
    <x v="0"/>
    <s v="C 4001"/>
    <x v="71"/>
    <n v="0"/>
    <x v="1"/>
  </r>
  <r>
    <n v="1103"/>
    <x v="0"/>
    <x v="0"/>
    <x v="0"/>
    <s v="Mr. Luigi Finoli"/>
    <x v="0"/>
    <x v="0"/>
    <n v="30.272590187298931"/>
    <x v="0"/>
    <x v="0"/>
    <s v="SOTON/O.Q. 3101308"/>
    <x v="115"/>
    <n v="0"/>
    <x v="1"/>
  </r>
  <r>
    <n v="1104"/>
    <x v="0"/>
    <x v="0"/>
    <x v="1"/>
    <s v="Mr. Percy William Deacon"/>
    <x v="0"/>
    <x v="3"/>
    <n v="17"/>
    <x v="0"/>
    <x v="0"/>
    <s v="S.O.C. 14879"/>
    <x v="116"/>
    <n v="0"/>
    <x v="1"/>
  </r>
  <r>
    <n v="1105"/>
    <x v="1"/>
    <x v="1"/>
    <x v="1"/>
    <s v="Mrs. Benjamin (Ellen Truelove Arman) Howard"/>
    <x v="1"/>
    <x v="2"/>
    <n v="60"/>
    <x v="1"/>
    <x v="0"/>
    <n v="24065"/>
    <x v="11"/>
    <n v="0"/>
    <x v="1"/>
  </r>
  <r>
    <n v="1106"/>
    <x v="1"/>
    <x v="1"/>
    <x v="0"/>
    <s v="Miss. Ida Augusta Margareta Andersson"/>
    <x v="1"/>
    <x v="0"/>
    <n v="38"/>
    <x v="4"/>
    <x v="3"/>
    <n v="347091"/>
    <x v="64"/>
    <n v="0"/>
    <x v="1"/>
  </r>
  <r>
    <n v="1107"/>
    <x v="0"/>
    <x v="0"/>
    <x v="2"/>
    <s v="Mr. Christopher Head"/>
    <x v="0"/>
    <x v="1"/>
    <n v="42"/>
    <x v="0"/>
    <x v="0"/>
    <n v="113038"/>
    <x v="117"/>
    <s v="B11"/>
    <x v="1"/>
  </r>
  <r>
    <n v="1108"/>
    <x v="1"/>
    <x v="1"/>
    <x v="0"/>
    <s v="Miss. Bridget Delia Mahon"/>
    <x v="1"/>
    <x v="0"/>
    <n v="30.272590187298931"/>
    <x v="0"/>
    <x v="0"/>
    <n v="330924"/>
    <x v="54"/>
    <n v="0"/>
    <x v="0"/>
  </r>
  <r>
    <n v="1109"/>
    <x v="0"/>
    <x v="0"/>
    <x v="2"/>
    <s v="Mr. George Dennick Wick"/>
    <x v="0"/>
    <x v="1"/>
    <n v="57"/>
    <x v="1"/>
    <x v="1"/>
    <n v="36928"/>
    <x v="118"/>
    <n v="0"/>
    <x v="1"/>
  </r>
  <r>
    <n v="1110"/>
    <x v="1"/>
    <x v="1"/>
    <x v="2"/>
    <s v="Mrs. George Dunton (Eleanor Elkins) Widener"/>
    <x v="1"/>
    <x v="1"/>
    <n v="50"/>
    <x v="1"/>
    <x v="1"/>
    <n v="113503"/>
    <x v="57"/>
    <s v="C80"/>
    <x v="2"/>
  </r>
  <r>
    <n v="1111"/>
    <x v="0"/>
    <x v="0"/>
    <x v="0"/>
    <s v="Mr. Alexander Morrison Thomson"/>
    <x v="0"/>
    <x v="0"/>
    <n v="30.272590187298931"/>
    <x v="0"/>
    <x v="0"/>
    <n v="32302"/>
    <x v="31"/>
    <n v="0"/>
    <x v="1"/>
  </r>
  <r>
    <n v="1112"/>
    <x v="1"/>
    <x v="1"/>
    <x v="1"/>
    <s v="Miss. Florentina Duran y More"/>
    <x v="1"/>
    <x v="0"/>
    <n v="30"/>
    <x v="1"/>
    <x v="0"/>
    <s v="SC/PARIS 2148"/>
    <x v="119"/>
    <n v="0"/>
    <x v="2"/>
  </r>
  <r>
    <n v="1113"/>
    <x v="0"/>
    <x v="0"/>
    <x v="0"/>
    <s v="Mr. Harold J Reynolds"/>
    <x v="0"/>
    <x v="0"/>
    <n v="21"/>
    <x v="0"/>
    <x v="0"/>
    <n v="342684"/>
    <x v="31"/>
    <n v="0"/>
    <x v="1"/>
  </r>
  <r>
    <n v="1114"/>
    <x v="1"/>
    <x v="1"/>
    <x v="1"/>
    <s v="Mrs. (Selena Rogers) Cook"/>
    <x v="1"/>
    <x v="0"/>
    <n v="22"/>
    <x v="0"/>
    <x v="0"/>
    <s v="W./C. 14266"/>
    <x v="109"/>
    <s v="F33"/>
    <x v="1"/>
  </r>
  <r>
    <n v="1115"/>
    <x v="0"/>
    <x v="0"/>
    <x v="0"/>
    <s v="Mr. Einar Gervasius Karlsson"/>
    <x v="0"/>
    <x v="0"/>
    <n v="21"/>
    <x v="0"/>
    <x v="0"/>
    <n v="350053"/>
    <x v="66"/>
    <n v="0"/>
    <x v="1"/>
  </r>
  <r>
    <n v="1116"/>
    <x v="1"/>
    <x v="1"/>
    <x v="2"/>
    <s v="Mrs. Edward (Helen Churchill Hungerford) Candee"/>
    <x v="1"/>
    <x v="1"/>
    <n v="53"/>
    <x v="0"/>
    <x v="0"/>
    <s v="PC 17606"/>
    <x v="120"/>
    <n v="0"/>
    <x v="2"/>
  </r>
  <r>
    <n v="1117"/>
    <x v="1"/>
    <x v="1"/>
    <x v="0"/>
    <s v="Mrs. George (Omine Amenia&quot; Alexander)&quot; Moubarek"/>
    <x v="1"/>
    <x v="0"/>
    <n v="30.272590187298931"/>
    <x v="0"/>
    <x v="3"/>
    <n v="2661"/>
    <x v="59"/>
    <n v="0"/>
    <x v="2"/>
  </r>
  <r>
    <n v="1118"/>
    <x v="0"/>
    <x v="0"/>
    <x v="0"/>
    <s v="Mr. Johan Charles Asplund"/>
    <x v="0"/>
    <x v="0"/>
    <n v="23"/>
    <x v="0"/>
    <x v="0"/>
    <n v="350054"/>
    <x v="66"/>
    <n v="0"/>
    <x v="1"/>
  </r>
  <r>
    <n v="1119"/>
    <x v="1"/>
    <x v="1"/>
    <x v="0"/>
    <s v="Miss. Bridget McNeill"/>
    <x v="1"/>
    <x v="0"/>
    <n v="30.272590187298931"/>
    <x v="0"/>
    <x v="0"/>
    <n v="370368"/>
    <x v="40"/>
    <n v="0"/>
    <x v="0"/>
  </r>
  <r>
    <n v="1120"/>
    <x v="0"/>
    <x v="0"/>
    <x v="0"/>
    <s v="Mr. Thomas James Everett"/>
    <x v="0"/>
    <x v="1"/>
    <n v="40.5"/>
    <x v="0"/>
    <x v="0"/>
    <s v="C.A. 6212"/>
    <x v="121"/>
    <n v="0"/>
    <x v="1"/>
  </r>
  <r>
    <n v="1121"/>
    <x v="0"/>
    <x v="0"/>
    <x v="1"/>
    <s v="Mr. Samuel James Metcalfe Hocking"/>
    <x v="0"/>
    <x v="0"/>
    <n v="36"/>
    <x v="0"/>
    <x v="0"/>
    <n v="242963"/>
    <x v="37"/>
    <n v="0"/>
    <x v="1"/>
  </r>
  <r>
    <n v="1122"/>
    <x v="0"/>
    <x v="0"/>
    <x v="1"/>
    <s v="Mr. George Frederick Sweet"/>
    <x v="0"/>
    <x v="3"/>
    <n v="14"/>
    <x v="0"/>
    <x v="0"/>
    <n v="220845"/>
    <x v="122"/>
    <n v="0"/>
    <x v="1"/>
  </r>
  <r>
    <n v="1123"/>
    <x v="1"/>
    <x v="1"/>
    <x v="2"/>
    <s v="Miss. Constance Willard"/>
    <x v="1"/>
    <x v="0"/>
    <n v="21"/>
    <x v="0"/>
    <x v="0"/>
    <n v="113795"/>
    <x v="35"/>
    <n v="0"/>
    <x v="1"/>
  </r>
  <r>
    <n v="1124"/>
    <x v="0"/>
    <x v="0"/>
    <x v="0"/>
    <s v="Mr. Karl Johan Wiklund"/>
    <x v="0"/>
    <x v="0"/>
    <n v="21"/>
    <x v="1"/>
    <x v="0"/>
    <n v="3101266"/>
    <x v="123"/>
    <n v="0"/>
    <x v="1"/>
  </r>
  <r>
    <n v="1125"/>
    <x v="0"/>
    <x v="0"/>
    <x v="0"/>
    <s v="Mr. Michael Linehan"/>
    <x v="0"/>
    <x v="0"/>
    <n v="30.272590187298931"/>
    <x v="0"/>
    <x v="0"/>
    <n v="330971"/>
    <x v="54"/>
    <n v="0"/>
    <x v="0"/>
  </r>
  <r>
    <n v="1126"/>
    <x v="0"/>
    <x v="0"/>
    <x v="2"/>
    <s v="Mr. John Bradley Cumings"/>
    <x v="0"/>
    <x v="0"/>
    <n v="39"/>
    <x v="1"/>
    <x v="0"/>
    <s v="PC 17599"/>
    <x v="124"/>
    <s v="C85"/>
    <x v="2"/>
  </r>
  <r>
    <n v="1127"/>
    <x v="0"/>
    <x v="0"/>
    <x v="0"/>
    <s v="Mr. Olof Edvin Vendel"/>
    <x v="0"/>
    <x v="0"/>
    <n v="20"/>
    <x v="0"/>
    <x v="0"/>
    <n v="350416"/>
    <x v="68"/>
    <n v="0"/>
    <x v="1"/>
  </r>
  <r>
    <n v="1128"/>
    <x v="0"/>
    <x v="0"/>
    <x v="2"/>
    <s v="Mr. Frank Manley Warren"/>
    <x v="0"/>
    <x v="2"/>
    <n v="64"/>
    <x v="1"/>
    <x v="0"/>
    <n v="110813"/>
    <x v="125"/>
    <s v="D37"/>
    <x v="2"/>
  </r>
  <r>
    <n v="1129"/>
    <x v="0"/>
    <x v="0"/>
    <x v="0"/>
    <s v="Mr. Raffull Baccos"/>
    <x v="0"/>
    <x v="0"/>
    <n v="20"/>
    <x v="0"/>
    <x v="0"/>
    <n v="2679"/>
    <x v="16"/>
    <n v="0"/>
    <x v="2"/>
  </r>
  <r>
    <n v="1130"/>
    <x v="1"/>
    <x v="1"/>
    <x v="1"/>
    <s v="Miss. Marta Hiltunen"/>
    <x v="1"/>
    <x v="3"/>
    <n v="18"/>
    <x v="1"/>
    <x v="1"/>
    <n v="250650"/>
    <x v="37"/>
    <n v="0"/>
    <x v="1"/>
  </r>
  <r>
    <n v="1131"/>
    <x v="1"/>
    <x v="1"/>
    <x v="2"/>
    <s v="Mrs. Walter Donald (Mahala Dutton) Douglas"/>
    <x v="1"/>
    <x v="1"/>
    <n v="48"/>
    <x v="1"/>
    <x v="0"/>
    <s v="PC 17761"/>
    <x v="126"/>
    <s v="C86"/>
    <x v="2"/>
  </r>
  <r>
    <n v="1132"/>
    <x v="1"/>
    <x v="1"/>
    <x v="2"/>
    <s v="Mrs. Carl Johan (Sigrid Posse) Lindstrom"/>
    <x v="1"/>
    <x v="1"/>
    <n v="55"/>
    <x v="0"/>
    <x v="0"/>
    <n v="112377"/>
    <x v="14"/>
    <n v="0"/>
    <x v="2"/>
  </r>
  <r>
    <n v="1133"/>
    <x v="1"/>
    <x v="1"/>
    <x v="1"/>
    <s v="Mrs. (Alice Frances) Christy"/>
    <x v="1"/>
    <x v="1"/>
    <n v="45"/>
    <x v="0"/>
    <x v="3"/>
    <n v="237789"/>
    <x v="127"/>
    <n v="0"/>
    <x v="1"/>
  </r>
  <r>
    <n v="1134"/>
    <x v="0"/>
    <x v="0"/>
    <x v="2"/>
    <s v="Mr. Frederic Oakley Spedden"/>
    <x v="0"/>
    <x v="1"/>
    <n v="45"/>
    <x v="1"/>
    <x v="1"/>
    <n v="16966"/>
    <x v="108"/>
    <s v="E34"/>
    <x v="2"/>
  </r>
  <r>
    <n v="1135"/>
    <x v="0"/>
    <x v="0"/>
    <x v="0"/>
    <s v="Mr. Abraham Hyman"/>
    <x v="0"/>
    <x v="0"/>
    <n v="30.272590187298931"/>
    <x v="0"/>
    <x v="0"/>
    <n v="3470"/>
    <x v="128"/>
    <n v="0"/>
    <x v="1"/>
  </r>
  <r>
    <n v="1136"/>
    <x v="0"/>
    <x v="0"/>
    <x v="0"/>
    <s v="Master. William Arthur Willie&quot;&quot; Johnston"/>
    <x v="0"/>
    <x v="0"/>
    <n v="30.272590187298931"/>
    <x v="1"/>
    <x v="3"/>
    <s v="W./C. 6607"/>
    <x v="29"/>
    <n v="0"/>
    <x v="1"/>
  </r>
  <r>
    <n v="1137"/>
    <x v="0"/>
    <x v="0"/>
    <x v="2"/>
    <s v="Mr. Frederick R Kenyon"/>
    <x v="0"/>
    <x v="1"/>
    <n v="41"/>
    <x v="1"/>
    <x v="0"/>
    <n v="17464"/>
    <x v="89"/>
    <s v="D21"/>
    <x v="1"/>
  </r>
  <r>
    <n v="1138"/>
    <x v="1"/>
    <x v="1"/>
    <x v="1"/>
    <s v="Mrs. J Frank (Claire Bennett) Karnes"/>
    <x v="1"/>
    <x v="0"/>
    <n v="22"/>
    <x v="0"/>
    <x v="0"/>
    <s v="F.C.C. 13534"/>
    <x v="53"/>
    <n v="0"/>
    <x v="1"/>
  </r>
  <r>
    <n v="1139"/>
    <x v="0"/>
    <x v="0"/>
    <x v="1"/>
    <s v="Mr. James Vivian Drew"/>
    <x v="0"/>
    <x v="1"/>
    <n v="42"/>
    <x v="1"/>
    <x v="1"/>
    <n v="28220"/>
    <x v="107"/>
    <n v="0"/>
    <x v="1"/>
  </r>
  <r>
    <n v="1140"/>
    <x v="1"/>
    <x v="1"/>
    <x v="1"/>
    <s v="Mrs. Stephen (Annie Margaret Hill) Hold"/>
    <x v="1"/>
    <x v="0"/>
    <n v="29"/>
    <x v="1"/>
    <x v="0"/>
    <n v="26707"/>
    <x v="11"/>
    <n v="0"/>
    <x v="1"/>
  </r>
  <r>
    <n v="1141"/>
    <x v="1"/>
    <x v="1"/>
    <x v="0"/>
    <s v="Mrs. Betros (Zahie Maria&quot; Elias)&quot; Khalil"/>
    <x v="1"/>
    <x v="0"/>
    <n v="30.272590187298931"/>
    <x v="1"/>
    <x v="0"/>
    <n v="2660"/>
    <x v="62"/>
    <n v="0"/>
    <x v="2"/>
  </r>
  <r>
    <n v="1142"/>
    <x v="1"/>
    <x v="1"/>
    <x v="1"/>
    <s v="Miss. Barbara J West"/>
    <x v="1"/>
    <x v="3"/>
    <n v="0.92"/>
    <x v="1"/>
    <x v="3"/>
    <s v="C.A. 34651"/>
    <x v="129"/>
    <n v="0"/>
    <x v="1"/>
  </r>
  <r>
    <n v="1143"/>
    <x v="0"/>
    <x v="0"/>
    <x v="0"/>
    <s v="Mr. Abraham August Johannes Abrahamsson"/>
    <x v="0"/>
    <x v="0"/>
    <n v="20"/>
    <x v="0"/>
    <x v="0"/>
    <s v="SOTON/O2 3101284"/>
    <x v="17"/>
    <n v="0"/>
    <x v="1"/>
  </r>
  <r>
    <n v="1144"/>
    <x v="0"/>
    <x v="0"/>
    <x v="2"/>
    <s v="Mr. Walter Miller Clark"/>
    <x v="0"/>
    <x v="0"/>
    <n v="27"/>
    <x v="1"/>
    <x v="0"/>
    <n v="13508"/>
    <x v="130"/>
    <s v="C89"/>
    <x v="2"/>
  </r>
  <r>
    <n v="1145"/>
    <x v="0"/>
    <x v="0"/>
    <x v="0"/>
    <s v="Mr. Karl Johan Salander"/>
    <x v="0"/>
    <x v="0"/>
    <n v="24"/>
    <x v="0"/>
    <x v="0"/>
    <n v="7266"/>
    <x v="131"/>
    <n v="0"/>
    <x v="1"/>
  </r>
  <r>
    <n v="1146"/>
    <x v="0"/>
    <x v="0"/>
    <x v="0"/>
    <s v="Mr. Linhart Wenzel"/>
    <x v="0"/>
    <x v="0"/>
    <n v="32.5"/>
    <x v="0"/>
    <x v="0"/>
    <n v="345775"/>
    <x v="32"/>
    <n v="0"/>
    <x v="1"/>
  </r>
  <r>
    <n v="1147"/>
    <x v="0"/>
    <x v="0"/>
    <x v="0"/>
    <s v="Mr. George William MacKay"/>
    <x v="0"/>
    <x v="0"/>
    <n v="30.272590187298931"/>
    <x v="0"/>
    <x v="0"/>
    <s v="C.A. 42795"/>
    <x v="94"/>
    <n v="0"/>
    <x v="1"/>
  </r>
  <r>
    <n v="1148"/>
    <x v="0"/>
    <x v="0"/>
    <x v="0"/>
    <s v="Mr. John Mahon"/>
    <x v="0"/>
    <x v="0"/>
    <n v="30.272590187298931"/>
    <x v="0"/>
    <x v="0"/>
    <s v="AQ/4 3130"/>
    <x v="40"/>
    <n v="0"/>
    <x v="0"/>
  </r>
  <r>
    <n v="1149"/>
    <x v="0"/>
    <x v="0"/>
    <x v="0"/>
    <s v="Mr. Samuel Niklasson"/>
    <x v="0"/>
    <x v="0"/>
    <n v="28"/>
    <x v="0"/>
    <x v="0"/>
    <n v="363611"/>
    <x v="31"/>
    <n v="0"/>
    <x v="1"/>
  </r>
  <r>
    <n v="1150"/>
    <x v="1"/>
    <x v="1"/>
    <x v="1"/>
    <s v="Miss. Lilian W Bentham"/>
    <x v="1"/>
    <x v="3"/>
    <n v="19"/>
    <x v="0"/>
    <x v="0"/>
    <n v="28404"/>
    <x v="37"/>
    <n v="0"/>
    <x v="1"/>
  </r>
  <r>
    <n v="1151"/>
    <x v="0"/>
    <x v="0"/>
    <x v="0"/>
    <s v="Mr. Karl Albert Midtsjo"/>
    <x v="0"/>
    <x v="0"/>
    <n v="21"/>
    <x v="0"/>
    <x v="0"/>
    <n v="345501"/>
    <x v="64"/>
    <n v="0"/>
    <x v="1"/>
  </r>
  <r>
    <n v="1152"/>
    <x v="0"/>
    <x v="0"/>
    <x v="0"/>
    <s v="Mr. Guillaume Joseph de Messemaeker"/>
    <x v="0"/>
    <x v="0"/>
    <n v="36.5"/>
    <x v="1"/>
    <x v="0"/>
    <n v="345572"/>
    <x v="132"/>
    <n v="0"/>
    <x v="1"/>
  </r>
  <r>
    <n v="1153"/>
    <x v="0"/>
    <x v="0"/>
    <x v="0"/>
    <s v="Mr. August Ferdinand Nilsson"/>
    <x v="0"/>
    <x v="0"/>
    <n v="21"/>
    <x v="0"/>
    <x v="0"/>
    <n v="350410"/>
    <x v="68"/>
    <n v="0"/>
    <x v="1"/>
  </r>
  <r>
    <n v="1154"/>
    <x v="1"/>
    <x v="1"/>
    <x v="1"/>
    <s v="Mrs. Arthur Henry (Addie&quot; Dart Trevaskis)&quot; Wells"/>
    <x v="1"/>
    <x v="0"/>
    <n v="29"/>
    <x v="0"/>
    <x v="3"/>
    <n v="29103"/>
    <x v="45"/>
    <n v="0"/>
    <x v="1"/>
  </r>
  <r>
    <n v="1155"/>
    <x v="1"/>
    <x v="1"/>
    <x v="0"/>
    <s v="Miss. Gertrud Emilia Klasen"/>
    <x v="1"/>
    <x v="3"/>
    <n v="1"/>
    <x v="1"/>
    <x v="1"/>
    <n v="350405"/>
    <x v="92"/>
    <n v="0"/>
    <x v="1"/>
  </r>
  <r>
    <n v="1156"/>
    <x v="0"/>
    <x v="0"/>
    <x v="1"/>
    <s v="Mr. Emilio Ilario Giuseppe Portaluppi"/>
    <x v="0"/>
    <x v="0"/>
    <n v="30"/>
    <x v="0"/>
    <x v="0"/>
    <s v="C.A. 34644"/>
    <x v="133"/>
    <n v="0"/>
    <x v="2"/>
  </r>
  <r>
    <n v="1157"/>
    <x v="0"/>
    <x v="0"/>
    <x v="0"/>
    <s v="Mr. Stanko Lyntakoff"/>
    <x v="0"/>
    <x v="0"/>
    <n v="30.272590187298931"/>
    <x v="0"/>
    <x v="0"/>
    <n v="349235"/>
    <x v="10"/>
    <n v="0"/>
    <x v="1"/>
  </r>
  <r>
    <n v="1158"/>
    <x v="0"/>
    <x v="0"/>
    <x v="2"/>
    <s v="Mr. Roderick Robert Crispin Chisholm"/>
    <x v="0"/>
    <x v="0"/>
    <n v="30.272590187298931"/>
    <x v="0"/>
    <x v="0"/>
    <n v="112051"/>
    <x v="134"/>
    <n v="0"/>
    <x v="1"/>
  </r>
  <r>
    <n v="1159"/>
    <x v="0"/>
    <x v="0"/>
    <x v="0"/>
    <s v="Mr. Charles William Warren"/>
    <x v="0"/>
    <x v="0"/>
    <n v="30.272590187298931"/>
    <x v="0"/>
    <x v="0"/>
    <s v="C.A. 49867"/>
    <x v="94"/>
    <n v="0"/>
    <x v="1"/>
  </r>
  <r>
    <n v="1160"/>
    <x v="1"/>
    <x v="1"/>
    <x v="0"/>
    <s v="Miss. May Elizabeth Howard"/>
    <x v="1"/>
    <x v="0"/>
    <n v="30.272590187298931"/>
    <x v="0"/>
    <x v="0"/>
    <s v="A. 2. 39186"/>
    <x v="31"/>
    <n v="0"/>
    <x v="1"/>
  </r>
  <r>
    <n v="1161"/>
    <x v="0"/>
    <x v="0"/>
    <x v="0"/>
    <s v="Mr. Mate Pokrnic"/>
    <x v="0"/>
    <x v="3"/>
    <n v="17"/>
    <x v="0"/>
    <x v="0"/>
    <n v="315095"/>
    <x v="3"/>
    <n v="0"/>
    <x v="1"/>
  </r>
  <r>
    <n v="1162"/>
    <x v="0"/>
    <x v="0"/>
    <x v="2"/>
    <s v="Mr. Thomas Francis McCaffry"/>
    <x v="0"/>
    <x v="1"/>
    <n v="46"/>
    <x v="0"/>
    <x v="0"/>
    <n v="13050"/>
    <x v="80"/>
    <s v="C6"/>
    <x v="2"/>
  </r>
  <r>
    <n v="1163"/>
    <x v="0"/>
    <x v="0"/>
    <x v="0"/>
    <s v="Mr. Patrick Fox"/>
    <x v="0"/>
    <x v="0"/>
    <n v="30.272590187298931"/>
    <x v="0"/>
    <x v="0"/>
    <n v="368573"/>
    <x v="40"/>
    <n v="0"/>
    <x v="0"/>
  </r>
  <r>
    <n v="1164"/>
    <x v="1"/>
    <x v="1"/>
    <x v="2"/>
    <s v="Mrs. Walter Miller (Virginia McDowell) Clark"/>
    <x v="1"/>
    <x v="0"/>
    <n v="26"/>
    <x v="1"/>
    <x v="0"/>
    <n v="13508"/>
    <x v="130"/>
    <s v="C89"/>
    <x v="2"/>
  </r>
  <r>
    <n v="1165"/>
    <x v="1"/>
    <x v="1"/>
    <x v="0"/>
    <s v="Miss. Mary Lennon"/>
    <x v="1"/>
    <x v="0"/>
    <n v="30.272590187298931"/>
    <x v="1"/>
    <x v="0"/>
    <n v="370371"/>
    <x v="111"/>
    <n v="0"/>
    <x v="0"/>
  </r>
  <r>
    <n v="1166"/>
    <x v="0"/>
    <x v="0"/>
    <x v="0"/>
    <s v="Mr. Jean Nassr Saade"/>
    <x v="0"/>
    <x v="0"/>
    <n v="30.272590187298931"/>
    <x v="0"/>
    <x v="0"/>
    <n v="2676"/>
    <x v="16"/>
    <n v="0"/>
    <x v="2"/>
  </r>
  <r>
    <n v="1167"/>
    <x v="1"/>
    <x v="1"/>
    <x v="1"/>
    <s v="Miss. Dagmar Jenny Ingeborg  Bryhl"/>
    <x v="1"/>
    <x v="0"/>
    <n v="20"/>
    <x v="1"/>
    <x v="0"/>
    <n v="236853"/>
    <x v="11"/>
    <n v="0"/>
    <x v="1"/>
  </r>
  <r>
    <n v="1168"/>
    <x v="0"/>
    <x v="0"/>
    <x v="1"/>
    <s v="Mr. Clifford Richard Parker"/>
    <x v="0"/>
    <x v="0"/>
    <n v="28"/>
    <x v="0"/>
    <x v="0"/>
    <s v="SC 14888"/>
    <x v="109"/>
    <n v="0"/>
    <x v="1"/>
  </r>
  <r>
    <n v="1169"/>
    <x v="0"/>
    <x v="0"/>
    <x v="1"/>
    <s v="Mr. Harry Faunthorpe"/>
    <x v="0"/>
    <x v="1"/>
    <n v="40"/>
    <x v="1"/>
    <x v="0"/>
    <n v="2926"/>
    <x v="11"/>
    <n v="0"/>
    <x v="1"/>
  </r>
  <r>
    <n v="1170"/>
    <x v="0"/>
    <x v="0"/>
    <x v="1"/>
    <s v="Mr. John James Ware"/>
    <x v="0"/>
    <x v="0"/>
    <n v="30"/>
    <x v="1"/>
    <x v="0"/>
    <s v="CA 31352"/>
    <x v="53"/>
    <n v="0"/>
    <x v="1"/>
  </r>
  <r>
    <n v="1171"/>
    <x v="0"/>
    <x v="0"/>
    <x v="1"/>
    <s v="Mr. Percy Thomas Oxenham"/>
    <x v="0"/>
    <x v="0"/>
    <n v="22"/>
    <x v="0"/>
    <x v="0"/>
    <s v="W./C. 14260"/>
    <x v="109"/>
    <n v="0"/>
    <x v="1"/>
  </r>
  <r>
    <n v="1172"/>
    <x v="1"/>
    <x v="1"/>
    <x v="0"/>
    <s v="Miss. Jelka Oreskovic"/>
    <x v="1"/>
    <x v="0"/>
    <n v="23"/>
    <x v="0"/>
    <x v="0"/>
    <n v="315085"/>
    <x v="3"/>
    <n v="0"/>
    <x v="1"/>
  </r>
  <r>
    <n v="1173"/>
    <x v="0"/>
    <x v="0"/>
    <x v="0"/>
    <s v="Master. Alfred Edward Peacock"/>
    <x v="0"/>
    <x v="3"/>
    <n v="0.75"/>
    <x v="1"/>
    <x v="1"/>
    <s v="SOTON/O.Q. 3101315"/>
    <x v="95"/>
    <n v="0"/>
    <x v="1"/>
  </r>
  <r>
    <n v="1174"/>
    <x v="1"/>
    <x v="1"/>
    <x v="0"/>
    <s v="Miss. Honora Fleming"/>
    <x v="1"/>
    <x v="0"/>
    <n v="30.272590187298931"/>
    <x v="0"/>
    <x v="0"/>
    <n v="364859"/>
    <x v="40"/>
    <n v="0"/>
    <x v="0"/>
  </r>
  <r>
    <n v="1175"/>
    <x v="1"/>
    <x v="1"/>
    <x v="0"/>
    <s v="Miss. Maria Youssef Touma"/>
    <x v="1"/>
    <x v="3"/>
    <n v="9"/>
    <x v="1"/>
    <x v="1"/>
    <n v="2650"/>
    <x v="59"/>
    <n v="0"/>
    <x v="2"/>
  </r>
  <r>
    <n v="1176"/>
    <x v="1"/>
    <x v="1"/>
    <x v="0"/>
    <s v="Miss. Salli Helena Rosblom"/>
    <x v="1"/>
    <x v="3"/>
    <n v="2"/>
    <x v="1"/>
    <x v="1"/>
    <n v="370129"/>
    <x v="135"/>
    <n v="0"/>
    <x v="1"/>
  </r>
  <r>
    <n v="1177"/>
    <x v="0"/>
    <x v="0"/>
    <x v="0"/>
    <s v="Mr. William Dennis"/>
    <x v="0"/>
    <x v="0"/>
    <n v="36"/>
    <x v="0"/>
    <x v="0"/>
    <s v="A/5 21175"/>
    <x v="82"/>
    <n v="0"/>
    <x v="1"/>
  </r>
  <r>
    <n v="1178"/>
    <x v="0"/>
    <x v="0"/>
    <x v="0"/>
    <s v="Mr. Charles (Charles Fardon) Franklin"/>
    <x v="0"/>
    <x v="0"/>
    <n v="30.272590187298931"/>
    <x v="0"/>
    <x v="0"/>
    <s v="SOTON/O.Q. 3101314"/>
    <x v="82"/>
    <n v="0"/>
    <x v="1"/>
  </r>
  <r>
    <n v="1179"/>
    <x v="0"/>
    <x v="0"/>
    <x v="2"/>
    <s v="Mr. John Pillsbury Snyder"/>
    <x v="0"/>
    <x v="0"/>
    <n v="24"/>
    <x v="1"/>
    <x v="0"/>
    <n v="21228"/>
    <x v="12"/>
    <s v="B45"/>
    <x v="1"/>
  </r>
  <r>
    <n v="1180"/>
    <x v="0"/>
    <x v="0"/>
    <x v="0"/>
    <s v="Mr. Sarkis Mardirosian"/>
    <x v="0"/>
    <x v="0"/>
    <n v="30.272590187298931"/>
    <x v="0"/>
    <x v="0"/>
    <n v="2655"/>
    <x v="8"/>
    <s v="F E46"/>
    <x v="2"/>
  </r>
  <r>
    <n v="1181"/>
    <x v="0"/>
    <x v="0"/>
    <x v="0"/>
    <s v="Mr. Arthur Ford"/>
    <x v="0"/>
    <x v="0"/>
    <n v="30.272590187298931"/>
    <x v="0"/>
    <x v="0"/>
    <s v="A/5 1478"/>
    <x v="31"/>
    <n v="0"/>
    <x v="1"/>
  </r>
  <r>
    <n v="1182"/>
    <x v="0"/>
    <x v="0"/>
    <x v="2"/>
    <s v="Mr. George Alexander Lucien Rheims"/>
    <x v="0"/>
    <x v="0"/>
    <n v="30.272590187298931"/>
    <x v="0"/>
    <x v="0"/>
    <s v="PC 17607"/>
    <x v="136"/>
    <n v="0"/>
    <x v="1"/>
  </r>
  <r>
    <n v="1183"/>
    <x v="1"/>
    <x v="1"/>
    <x v="0"/>
    <s v="Miss. Margaret Marcella Maggie&quot;&quot; Daly"/>
    <x v="1"/>
    <x v="0"/>
    <n v="30"/>
    <x v="0"/>
    <x v="0"/>
    <n v="382650"/>
    <x v="137"/>
    <n v="0"/>
    <x v="0"/>
  </r>
  <r>
    <n v="1184"/>
    <x v="0"/>
    <x v="0"/>
    <x v="0"/>
    <s v="Mr. Mustafa Nasr"/>
    <x v="0"/>
    <x v="0"/>
    <n v="30.272590187298931"/>
    <x v="0"/>
    <x v="0"/>
    <n v="2652"/>
    <x v="8"/>
    <n v="0"/>
    <x v="2"/>
  </r>
  <r>
    <n v="1185"/>
    <x v="0"/>
    <x v="0"/>
    <x v="2"/>
    <s v="Dr. Washington Dodge"/>
    <x v="0"/>
    <x v="1"/>
    <n v="53"/>
    <x v="1"/>
    <x v="1"/>
    <n v="33638"/>
    <x v="138"/>
    <s v="A34"/>
    <x v="1"/>
  </r>
  <r>
    <n v="1186"/>
    <x v="0"/>
    <x v="0"/>
    <x v="0"/>
    <s v="Mr. Camille Wittevrongel"/>
    <x v="0"/>
    <x v="0"/>
    <n v="36"/>
    <x v="0"/>
    <x v="0"/>
    <n v="345771"/>
    <x v="32"/>
    <n v="0"/>
    <x v="1"/>
  </r>
  <r>
    <n v="1187"/>
    <x v="0"/>
    <x v="0"/>
    <x v="0"/>
    <s v="Mr. Minko Angheloff"/>
    <x v="0"/>
    <x v="0"/>
    <n v="26"/>
    <x v="0"/>
    <x v="0"/>
    <n v="349202"/>
    <x v="10"/>
    <n v="0"/>
    <x v="1"/>
  </r>
  <r>
    <n v="1188"/>
    <x v="1"/>
    <x v="1"/>
    <x v="1"/>
    <s v="Miss. Louise Laroche"/>
    <x v="1"/>
    <x v="3"/>
    <n v="1"/>
    <x v="1"/>
    <x v="3"/>
    <s v="SC/Paris 2123"/>
    <x v="139"/>
    <n v="0"/>
    <x v="2"/>
  </r>
  <r>
    <n v="1189"/>
    <x v="0"/>
    <x v="0"/>
    <x v="0"/>
    <s v="Mr. Hanna Samaan"/>
    <x v="0"/>
    <x v="0"/>
    <n v="30.272590187298931"/>
    <x v="2"/>
    <x v="0"/>
    <n v="2662"/>
    <x v="26"/>
    <n v="0"/>
    <x v="2"/>
  </r>
  <r>
    <n v="1190"/>
    <x v="0"/>
    <x v="0"/>
    <x v="2"/>
    <s v="Mr. Joseph Holland Loring"/>
    <x v="0"/>
    <x v="0"/>
    <n v="30"/>
    <x v="0"/>
    <x v="0"/>
    <n v="113801"/>
    <x v="140"/>
    <n v="0"/>
    <x v="1"/>
  </r>
  <r>
    <n v="1191"/>
    <x v="0"/>
    <x v="0"/>
    <x v="0"/>
    <s v="Mr. Nils Johansson"/>
    <x v="0"/>
    <x v="0"/>
    <n v="29"/>
    <x v="0"/>
    <x v="0"/>
    <n v="347467"/>
    <x v="68"/>
    <n v="0"/>
    <x v="1"/>
  </r>
  <r>
    <n v="1192"/>
    <x v="0"/>
    <x v="0"/>
    <x v="0"/>
    <s v="Mr. Oscar Wilhelm Olsson"/>
    <x v="0"/>
    <x v="0"/>
    <n v="32"/>
    <x v="0"/>
    <x v="0"/>
    <n v="347079"/>
    <x v="64"/>
    <n v="0"/>
    <x v="1"/>
  </r>
  <r>
    <n v="1193"/>
    <x v="0"/>
    <x v="0"/>
    <x v="1"/>
    <s v="Mr. Noel Malachard"/>
    <x v="0"/>
    <x v="0"/>
    <n v="30.272590187298931"/>
    <x v="0"/>
    <x v="0"/>
    <n v="237735"/>
    <x v="74"/>
    <s v="D"/>
    <x v="2"/>
  </r>
  <r>
    <n v="1194"/>
    <x v="0"/>
    <x v="0"/>
    <x v="1"/>
    <s v="Mr. Escott Robert Phillips"/>
    <x v="0"/>
    <x v="1"/>
    <n v="43"/>
    <x v="0"/>
    <x v="1"/>
    <s v="S.O./P.P. 2"/>
    <x v="53"/>
    <n v="0"/>
    <x v="1"/>
  </r>
  <r>
    <n v="1195"/>
    <x v="0"/>
    <x v="0"/>
    <x v="0"/>
    <s v="Mr. Tome Pokrnic"/>
    <x v="0"/>
    <x v="0"/>
    <n v="24"/>
    <x v="0"/>
    <x v="0"/>
    <n v="315092"/>
    <x v="3"/>
    <n v="0"/>
    <x v="1"/>
  </r>
  <r>
    <n v="1196"/>
    <x v="1"/>
    <x v="1"/>
    <x v="0"/>
    <s v="Miss. Catherine Katie&quot;&quot; McCarthy"/>
    <x v="1"/>
    <x v="0"/>
    <n v="30.272590187298931"/>
    <x v="0"/>
    <x v="0"/>
    <n v="383123"/>
    <x v="40"/>
    <n v="0"/>
    <x v="0"/>
  </r>
  <r>
    <n v="1197"/>
    <x v="1"/>
    <x v="1"/>
    <x v="2"/>
    <s v="Mrs. Edward Gifford (Catherine Elizabeth Halstead) Crosby"/>
    <x v="1"/>
    <x v="2"/>
    <n v="64"/>
    <x v="1"/>
    <x v="1"/>
    <n v="112901"/>
    <x v="35"/>
    <s v="B26"/>
    <x v="1"/>
  </r>
  <r>
    <n v="1198"/>
    <x v="0"/>
    <x v="0"/>
    <x v="2"/>
    <s v="Mr. Hudson Joshua Creighton Allison"/>
    <x v="0"/>
    <x v="0"/>
    <n v="30"/>
    <x v="1"/>
    <x v="3"/>
    <n v="113781"/>
    <x v="87"/>
    <s v="C22 C26"/>
    <x v="1"/>
  </r>
  <r>
    <n v="1199"/>
    <x v="0"/>
    <x v="0"/>
    <x v="0"/>
    <s v="Master. Philip Frank Aks"/>
    <x v="0"/>
    <x v="3"/>
    <n v="0.83"/>
    <x v="0"/>
    <x v="1"/>
    <n v="392091"/>
    <x v="141"/>
    <n v="0"/>
    <x v="1"/>
  </r>
  <r>
    <n v="1200"/>
    <x v="0"/>
    <x v="0"/>
    <x v="2"/>
    <s v="Mr. Charles Melville Hays"/>
    <x v="0"/>
    <x v="1"/>
    <n v="55"/>
    <x v="1"/>
    <x v="1"/>
    <n v="12749"/>
    <x v="142"/>
    <s v="B69"/>
    <x v="1"/>
  </r>
  <r>
    <n v="1201"/>
    <x v="1"/>
    <x v="1"/>
    <x v="0"/>
    <s v="Mrs. Claus Peter (Jennie L Howard) Hansen"/>
    <x v="1"/>
    <x v="1"/>
    <n v="45"/>
    <x v="1"/>
    <x v="0"/>
    <n v="350026"/>
    <x v="143"/>
    <n v="0"/>
    <x v="1"/>
  </r>
  <r>
    <n v="1202"/>
    <x v="0"/>
    <x v="0"/>
    <x v="0"/>
    <s v="Mr. Jego Grga Cacic"/>
    <x v="0"/>
    <x v="3"/>
    <n v="18"/>
    <x v="0"/>
    <x v="0"/>
    <n v="315091"/>
    <x v="3"/>
    <n v="0"/>
    <x v="1"/>
  </r>
  <r>
    <n v="1203"/>
    <x v="0"/>
    <x v="0"/>
    <x v="0"/>
    <s v="Mr. David Vartanian"/>
    <x v="0"/>
    <x v="0"/>
    <n v="22"/>
    <x v="0"/>
    <x v="0"/>
    <n v="2658"/>
    <x v="16"/>
    <n v="0"/>
    <x v="2"/>
  </r>
  <r>
    <n v="1204"/>
    <x v="0"/>
    <x v="0"/>
    <x v="0"/>
    <s v="Mr. Harry Sadowitz"/>
    <x v="0"/>
    <x v="0"/>
    <n v="30.272590187298931"/>
    <x v="0"/>
    <x v="0"/>
    <s v="LP 1588"/>
    <x v="144"/>
    <n v="0"/>
    <x v="1"/>
  </r>
  <r>
    <n v="1205"/>
    <x v="1"/>
    <x v="1"/>
    <x v="0"/>
    <s v="Miss. Jeannie Carr"/>
    <x v="1"/>
    <x v="0"/>
    <n v="37"/>
    <x v="0"/>
    <x v="0"/>
    <n v="368364"/>
    <x v="40"/>
    <n v="0"/>
    <x v="0"/>
  </r>
  <r>
    <n v="1206"/>
    <x v="1"/>
    <x v="1"/>
    <x v="2"/>
    <s v="Mrs. John Stuart (Ella Holmes) White"/>
    <x v="1"/>
    <x v="1"/>
    <n v="55"/>
    <x v="0"/>
    <x v="0"/>
    <s v="PC 17760"/>
    <x v="145"/>
    <s v="C32"/>
    <x v="2"/>
  </r>
  <r>
    <n v="1207"/>
    <x v="1"/>
    <x v="1"/>
    <x v="0"/>
    <s v="Miss. Kate Hagardon"/>
    <x v="1"/>
    <x v="3"/>
    <n v="17"/>
    <x v="0"/>
    <x v="0"/>
    <s v="AQ/3. 30631"/>
    <x v="96"/>
    <n v="0"/>
    <x v="0"/>
  </r>
  <r>
    <n v="1208"/>
    <x v="0"/>
    <x v="0"/>
    <x v="2"/>
    <s v="Mr. William Augustus Spencer"/>
    <x v="0"/>
    <x v="1"/>
    <n v="57"/>
    <x v="1"/>
    <x v="0"/>
    <s v="PC 17569"/>
    <x v="146"/>
    <s v="B78"/>
    <x v="2"/>
  </r>
  <r>
    <n v="1209"/>
    <x v="0"/>
    <x v="0"/>
    <x v="1"/>
    <s v="Mr. Reginald Harry Rogers"/>
    <x v="0"/>
    <x v="3"/>
    <n v="19"/>
    <x v="0"/>
    <x v="0"/>
    <n v="28004"/>
    <x v="109"/>
    <n v="0"/>
    <x v="1"/>
  </r>
  <r>
    <n v="1210"/>
    <x v="0"/>
    <x v="0"/>
    <x v="0"/>
    <s v="Mr. Nils Hilding Jonsson"/>
    <x v="0"/>
    <x v="0"/>
    <n v="27"/>
    <x v="0"/>
    <x v="0"/>
    <n v="350408"/>
    <x v="68"/>
    <n v="0"/>
    <x v="1"/>
  </r>
  <r>
    <n v="1211"/>
    <x v="0"/>
    <x v="0"/>
    <x v="1"/>
    <s v="Mr. Ernest Wilfred Jefferys"/>
    <x v="0"/>
    <x v="0"/>
    <n v="22"/>
    <x v="2"/>
    <x v="0"/>
    <s v="C.A. 31029"/>
    <x v="27"/>
    <n v="0"/>
    <x v="1"/>
  </r>
  <r>
    <n v="1212"/>
    <x v="0"/>
    <x v="0"/>
    <x v="0"/>
    <s v="Mr. Johan Samuel Andersson"/>
    <x v="0"/>
    <x v="0"/>
    <n v="26"/>
    <x v="0"/>
    <x v="0"/>
    <n v="347075"/>
    <x v="64"/>
    <n v="0"/>
    <x v="1"/>
  </r>
  <r>
    <n v="1213"/>
    <x v="0"/>
    <x v="0"/>
    <x v="0"/>
    <s v="Mr. Neshan Krekorian"/>
    <x v="0"/>
    <x v="0"/>
    <n v="25"/>
    <x v="0"/>
    <x v="0"/>
    <n v="2654"/>
    <x v="8"/>
    <s v="F E57"/>
    <x v="2"/>
  </r>
  <r>
    <n v="1214"/>
    <x v="0"/>
    <x v="0"/>
    <x v="1"/>
    <s v="Mr. Israel Nesson"/>
    <x v="0"/>
    <x v="0"/>
    <n v="26"/>
    <x v="0"/>
    <x v="0"/>
    <n v="244368"/>
    <x v="37"/>
    <s v="F2"/>
    <x v="1"/>
  </r>
  <r>
    <n v="1215"/>
    <x v="0"/>
    <x v="0"/>
    <x v="2"/>
    <s v="Mr. Alfred G Rowe"/>
    <x v="0"/>
    <x v="0"/>
    <n v="33"/>
    <x v="0"/>
    <x v="0"/>
    <n v="113790"/>
    <x v="35"/>
    <n v="0"/>
    <x v="1"/>
  </r>
  <r>
    <n v="1216"/>
    <x v="1"/>
    <x v="1"/>
    <x v="2"/>
    <s v="Miss. Emilie Kreuchen"/>
    <x v="1"/>
    <x v="0"/>
    <n v="39"/>
    <x v="0"/>
    <x v="0"/>
    <n v="24160"/>
    <x v="147"/>
    <n v="0"/>
    <x v="1"/>
  </r>
  <r>
    <n v="1217"/>
    <x v="0"/>
    <x v="0"/>
    <x v="0"/>
    <s v="Mr. Ali Assam"/>
    <x v="0"/>
    <x v="0"/>
    <n v="23"/>
    <x v="0"/>
    <x v="0"/>
    <s v="SOTON/O.Q. 3101309"/>
    <x v="115"/>
    <n v="0"/>
    <x v="1"/>
  </r>
  <r>
    <n v="1218"/>
    <x v="1"/>
    <x v="1"/>
    <x v="1"/>
    <s v="Miss. Ruth Elizabeth Becker"/>
    <x v="1"/>
    <x v="3"/>
    <n v="12"/>
    <x v="2"/>
    <x v="1"/>
    <n v="230136"/>
    <x v="101"/>
    <s v="F4"/>
    <x v="1"/>
  </r>
  <r>
    <n v="1219"/>
    <x v="0"/>
    <x v="0"/>
    <x v="2"/>
    <s v="Mr. George (Mr George Thorne&quot;)&quot; Rosenshine"/>
    <x v="0"/>
    <x v="1"/>
    <n v="46"/>
    <x v="0"/>
    <x v="0"/>
    <s v="PC 17585"/>
    <x v="148"/>
    <n v="0"/>
    <x v="2"/>
  </r>
  <r>
    <n v="1220"/>
    <x v="0"/>
    <x v="0"/>
    <x v="1"/>
    <s v="Mr. Charles Valentine Clarke"/>
    <x v="0"/>
    <x v="0"/>
    <n v="29"/>
    <x v="1"/>
    <x v="0"/>
    <n v="2003"/>
    <x v="11"/>
    <n v="0"/>
    <x v="1"/>
  </r>
  <r>
    <n v="1221"/>
    <x v="0"/>
    <x v="0"/>
    <x v="1"/>
    <s v="Mr. Ingvar Enander"/>
    <x v="0"/>
    <x v="0"/>
    <n v="21"/>
    <x v="0"/>
    <x v="0"/>
    <n v="236854"/>
    <x v="37"/>
    <n v="0"/>
    <x v="1"/>
  </r>
  <r>
    <n v="1222"/>
    <x v="1"/>
    <x v="1"/>
    <x v="1"/>
    <s v="Mrs. John Morgan (Elizabeth Agnes Mary White)  Davies"/>
    <x v="1"/>
    <x v="1"/>
    <n v="48"/>
    <x v="0"/>
    <x v="3"/>
    <s v="C.A. 33112"/>
    <x v="102"/>
    <n v="0"/>
    <x v="1"/>
  </r>
  <r>
    <n v="1223"/>
    <x v="0"/>
    <x v="0"/>
    <x v="2"/>
    <s v="Mr. William Crothers Dulles"/>
    <x v="0"/>
    <x v="0"/>
    <n v="39"/>
    <x v="0"/>
    <x v="0"/>
    <s v="PC 17580"/>
    <x v="39"/>
    <s v="A18"/>
    <x v="2"/>
  </r>
  <r>
    <n v="1224"/>
    <x v="0"/>
    <x v="0"/>
    <x v="0"/>
    <s v="Mr. Tannous Thomas"/>
    <x v="0"/>
    <x v="0"/>
    <n v="30.272590187298931"/>
    <x v="0"/>
    <x v="0"/>
    <n v="2684"/>
    <x v="16"/>
    <n v="0"/>
    <x v="2"/>
  </r>
  <r>
    <n v="1225"/>
    <x v="1"/>
    <x v="1"/>
    <x v="0"/>
    <s v="Mrs. Said (Waika Mary&quot; Mowad)&quot; Nakid"/>
    <x v="1"/>
    <x v="3"/>
    <n v="19"/>
    <x v="1"/>
    <x v="1"/>
    <n v="2653"/>
    <x v="149"/>
    <n v="0"/>
    <x v="2"/>
  </r>
  <r>
    <n v="1226"/>
    <x v="0"/>
    <x v="0"/>
    <x v="0"/>
    <s v="Mr. Ivan Cor"/>
    <x v="0"/>
    <x v="0"/>
    <n v="27"/>
    <x v="0"/>
    <x v="0"/>
    <n v="349229"/>
    <x v="10"/>
    <n v="0"/>
    <x v="1"/>
  </r>
  <r>
    <n v="1227"/>
    <x v="0"/>
    <x v="0"/>
    <x v="2"/>
    <s v="Mr. John Edward Maguire"/>
    <x v="0"/>
    <x v="0"/>
    <n v="30"/>
    <x v="0"/>
    <x v="0"/>
    <n v="110469"/>
    <x v="11"/>
    <s v="C106"/>
    <x v="1"/>
  </r>
  <r>
    <n v="1228"/>
    <x v="0"/>
    <x v="0"/>
    <x v="1"/>
    <s v="Mr. Jose Joaquim de Brito"/>
    <x v="0"/>
    <x v="0"/>
    <n v="32"/>
    <x v="0"/>
    <x v="0"/>
    <n v="244360"/>
    <x v="37"/>
    <n v="0"/>
    <x v="1"/>
  </r>
  <r>
    <n v="1229"/>
    <x v="0"/>
    <x v="0"/>
    <x v="0"/>
    <s v="Mr. Joseph Elias"/>
    <x v="0"/>
    <x v="0"/>
    <n v="39"/>
    <x v="0"/>
    <x v="3"/>
    <n v="2675"/>
    <x v="8"/>
    <n v="0"/>
    <x v="2"/>
  </r>
  <r>
    <n v="1230"/>
    <x v="0"/>
    <x v="0"/>
    <x v="1"/>
    <s v="Mr. Herbert Denbury"/>
    <x v="0"/>
    <x v="0"/>
    <n v="25"/>
    <x v="0"/>
    <x v="0"/>
    <s v="C.A. 31029"/>
    <x v="27"/>
    <n v="0"/>
    <x v="1"/>
  </r>
  <r>
    <n v="1231"/>
    <x v="0"/>
    <x v="0"/>
    <x v="0"/>
    <s v="Master. Seman Betros"/>
    <x v="0"/>
    <x v="0"/>
    <n v="30.272590187298931"/>
    <x v="0"/>
    <x v="0"/>
    <n v="2622"/>
    <x v="8"/>
    <n v="0"/>
    <x v="2"/>
  </r>
  <r>
    <n v="1232"/>
    <x v="0"/>
    <x v="0"/>
    <x v="1"/>
    <s v="Mr. Joseph Charles Fillbrook"/>
    <x v="0"/>
    <x v="3"/>
    <n v="18"/>
    <x v="0"/>
    <x v="0"/>
    <s v="C.A. 15185"/>
    <x v="109"/>
    <n v="0"/>
    <x v="1"/>
  </r>
  <r>
    <n v="1233"/>
    <x v="0"/>
    <x v="0"/>
    <x v="0"/>
    <s v="Mr. Thure Edvin Lundstrom"/>
    <x v="0"/>
    <x v="0"/>
    <n v="32"/>
    <x v="0"/>
    <x v="0"/>
    <n v="350403"/>
    <x v="150"/>
    <n v="0"/>
    <x v="1"/>
  </r>
  <r>
    <n v="1234"/>
    <x v="0"/>
    <x v="0"/>
    <x v="0"/>
    <s v="Mr. John George Sage"/>
    <x v="0"/>
    <x v="0"/>
    <n v="30.272590187298931"/>
    <x v="1"/>
    <x v="7"/>
    <s v="CA. 2343"/>
    <x v="106"/>
    <n v="0"/>
    <x v="1"/>
  </r>
  <r>
    <n v="1235"/>
    <x v="1"/>
    <x v="1"/>
    <x v="2"/>
    <s v="Mrs. James Warburton Martinez (Charlotte Wardle Drake) Cardeza"/>
    <x v="1"/>
    <x v="1"/>
    <n v="58"/>
    <x v="0"/>
    <x v="1"/>
    <s v="PC 17755"/>
    <x v="151"/>
    <s v="B51 B53 B55"/>
    <x v="2"/>
  </r>
  <r>
    <n v="1236"/>
    <x v="0"/>
    <x v="0"/>
    <x v="0"/>
    <s v="Master. James William van Billiard"/>
    <x v="0"/>
    <x v="0"/>
    <n v="30.272590187298931"/>
    <x v="1"/>
    <x v="1"/>
    <s v="A/5. 851"/>
    <x v="23"/>
    <n v="0"/>
    <x v="1"/>
  </r>
  <r>
    <n v="1237"/>
    <x v="1"/>
    <x v="1"/>
    <x v="0"/>
    <s v="Miss. Karen Marie Abelseth"/>
    <x v="1"/>
    <x v="3"/>
    <n v="16"/>
    <x v="0"/>
    <x v="0"/>
    <n v="348125"/>
    <x v="49"/>
    <n v="0"/>
    <x v="1"/>
  </r>
  <r>
    <n v="1238"/>
    <x v="0"/>
    <x v="0"/>
    <x v="1"/>
    <s v="Mr. William Hull Botsford"/>
    <x v="0"/>
    <x v="0"/>
    <n v="26"/>
    <x v="0"/>
    <x v="0"/>
    <n v="237670"/>
    <x v="37"/>
    <n v="0"/>
    <x v="1"/>
  </r>
  <r>
    <n v="1239"/>
    <x v="1"/>
    <x v="1"/>
    <x v="0"/>
    <s v="Mrs. George Joseph (Shawneene Abi-Saab) Whabee"/>
    <x v="1"/>
    <x v="0"/>
    <n v="38"/>
    <x v="0"/>
    <x v="0"/>
    <n v="2688"/>
    <x v="8"/>
    <n v="0"/>
    <x v="2"/>
  </r>
  <r>
    <n v="1240"/>
    <x v="0"/>
    <x v="0"/>
    <x v="1"/>
    <s v="Mr. Ralph Giles"/>
    <x v="0"/>
    <x v="0"/>
    <n v="24"/>
    <x v="0"/>
    <x v="0"/>
    <n v="248726"/>
    <x v="51"/>
    <n v="0"/>
    <x v="1"/>
  </r>
  <r>
    <n v="1241"/>
    <x v="1"/>
    <x v="1"/>
    <x v="1"/>
    <s v="Miss. Nellie Walcroft"/>
    <x v="1"/>
    <x v="0"/>
    <n v="31"/>
    <x v="0"/>
    <x v="0"/>
    <s v="F.C.C. 13528"/>
    <x v="53"/>
    <n v="0"/>
    <x v="1"/>
  </r>
  <r>
    <n v="1242"/>
    <x v="1"/>
    <x v="1"/>
    <x v="2"/>
    <s v="Mrs. Leo David (Blanche Strouse) Greenfield"/>
    <x v="1"/>
    <x v="1"/>
    <n v="45"/>
    <x v="0"/>
    <x v="1"/>
    <s v="PC 17759"/>
    <x v="152"/>
    <s v="D10 D12"/>
    <x v="2"/>
  </r>
  <r>
    <n v="1243"/>
    <x v="0"/>
    <x v="0"/>
    <x v="1"/>
    <s v="Mr. Philip Joseph Stokes"/>
    <x v="0"/>
    <x v="0"/>
    <n v="25"/>
    <x v="0"/>
    <x v="0"/>
    <s v="F.C.C. 13540"/>
    <x v="109"/>
    <n v="0"/>
    <x v="1"/>
  </r>
  <r>
    <n v="1244"/>
    <x v="0"/>
    <x v="0"/>
    <x v="1"/>
    <s v="Mr. William Dibden"/>
    <x v="0"/>
    <x v="3"/>
    <n v="18"/>
    <x v="0"/>
    <x v="0"/>
    <s v="S.O.C. 14879"/>
    <x v="116"/>
    <n v="0"/>
    <x v="1"/>
  </r>
  <r>
    <n v="1245"/>
    <x v="0"/>
    <x v="0"/>
    <x v="1"/>
    <s v="Mr. Samuel Herman"/>
    <x v="0"/>
    <x v="1"/>
    <n v="49"/>
    <x v="1"/>
    <x v="3"/>
    <n v="220845"/>
    <x v="122"/>
    <n v="0"/>
    <x v="1"/>
  </r>
  <r>
    <n v="1246"/>
    <x v="1"/>
    <x v="1"/>
    <x v="0"/>
    <s v="Miss. Elizabeth Gladys Millvina&quot;&quot; Dean"/>
    <x v="1"/>
    <x v="3"/>
    <n v="0.17"/>
    <x v="1"/>
    <x v="3"/>
    <s v="C.A. 2315"/>
    <x v="28"/>
    <n v="0"/>
    <x v="1"/>
  </r>
  <r>
    <n v="1247"/>
    <x v="0"/>
    <x v="0"/>
    <x v="2"/>
    <s v="Mr. Henry Forbes Julian"/>
    <x v="0"/>
    <x v="1"/>
    <n v="50"/>
    <x v="0"/>
    <x v="0"/>
    <n v="113044"/>
    <x v="11"/>
    <s v="E60"/>
    <x v="1"/>
  </r>
  <r>
    <n v="1248"/>
    <x v="1"/>
    <x v="1"/>
    <x v="2"/>
    <s v="Mrs. John Murray (Caroline Lane Lamson) Brown"/>
    <x v="1"/>
    <x v="1"/>
    <n v="59"/>
    <x v="2"/>
    <x v="0"/>
    <n v="11769"/>
    <x v="153"/>
    <s v="C101"/>
    <x v="1"/>
  </r>
  <r>
    <n v="1249"/>
    <x v="0"/>
    <x v="0"/>
    <x v="0"/>
    <s v="Mr. Edward Lockyer"/>
    <x v="0"/>
    <x v="0"/>
    <n v="30.272590187298931"/>
    <x v="0"/>
    <x v="0"/>
    <n v="1222"/>
    <x v="54"/>
    <n v="0"/>
    <x v="1"/>
  </r>
  <r>
    <n v="1250"/>
    <x v="0"/>
    <x v="0"/>
    <x v="0"/>
    <s v="Mr. Patrick O'Keefe"/>
    <x v="0"/>
    <x v="0"/>
    <n v="30.272590187298931"/>
    <x v="0"/>
    <x v="0"/>
    <n v="368402"/>
    <x v="40"/>
    <n v="0"/>
    <x v="0"/>
  </r>
  <r>
    <n v="1251"/>
    <x v="1"/>
    <x v="1"/>
    <x v="0"/>
    <s v="Mrs. Edvard Bengtsson (Elin Gerda Persson) Lindell"/>
    <x v="1"/>
    <x v="0"/>
    <n v="30"/>
    <x v="1"/>
    <x v="0"/>
    <n v="349910"/>
    <x v="154"/>
    <n v="0"/>
    <x v="1"/>
  </r>
  <r>
    <n v="1252"/>
    <x v="0"/>
    <x v="0"/>
    <x v="0"/>
    <s v="Master. William Henry Sage"/>
    <x v="0"/>
    <x v="3"/>
    <n v="14.5"/>
    <x v="6"/>
    <x v="3"/>
    <s v="CA. 2343"/>
    <x v="106"/>
    <n v="0"/>
    <x v="1"/>
  </r>
  <r>
    <n v="1253"/>
    <x v="1"/>
    <x v="1"/>
    <x v="1"/>
    <s v="Mrs. Albert (Antoinette Magnin) Mallet"/>
    <x v="1"/>
    <x v="0"/>
    <n v="24"/>
    <x v="1"/>
    <x v="1"/>
    <s v="S.C./PARIS 2079"/>
    <x v="155"/>
    <n v="0"/>
    <x v="2"/>
  </r>
  <r>
    <n v="1254"/>
    <x v="1"/>
    <x v="1"/>
    <x v="1"/>
    <s v="Mrs. John James (Florence Louise Long) Ware"/>
    <x v="1"/>
    <x v="0"/>
    <n v="31"/>
    <x v="0"/>
    <x v="0"/>
    <s v="CA 31352"/>
    <x v="53"/>
    <n v="0"/>
    <x v="1"/>
  </r>
  <r>
    <n v="1255"/>
    <x v="0"/>
    <x v="0"/>
    <x v="0"/>
    <s v="Mr. Ivan Strilic"/>
    <x v="0"/>
    <x v="0"/>
    <n v="27"/>
    <x v="0"/>
    <x v="0"/>
    <n v="315083"/>
    <x v="3"/>
    <n v="0"/>
    <x v="1"/>
  </r>
  <r>
    <n v="1256"/>
    <x v="1"/>
    <x v="1"/>
    <x v="2"/>
    <s v="Mrs. George Achilles (Dorothy Annan) Harder"/>
    <x v="1"/>
    <x v="0"/>
    <n v="25"/>
    <x v="1"/>
    <x v="0"/>
    <n v="11765"/>
    <x v="69"/>
    <s v="E50"/>
    <x v="2"/>
  </r>
  <r>
    <n v="1257"/>
    <x v="1"/>
    <x v="1"/>
    <x v="0"/>
    <s v="Mrs. John (Annie Bullen) Sage"/>
    <x v="1"/>
    <x v="0"/>
    <n v="30.272590187298931"/>
    <x v="1"/>
    <x v="7"/>
    <s v="CA. 2343"/>
    <x v="106"/>
    <n v="0"/>
    <x v="1"/>
  </r>
  <r>
    <n v="1258"/>
    <x v="0"/>
    <x v="0"/>
    <x v="0"/>
    <s v="Mr. Joseph Caram"/>
    <x v="0"/>
    <x v="0"/>
    <n v="30.272590187298931"/>
    <x v="1"/>
    <x v="0"/>
    <n v="2689"/>
    <x v="156"/>
    <n v="0"/>
    <x v="2"/>
  </r>
  <r>
    <n v="1259"/>
    <x v="1"/>
    <x v="1"/>
    <x v="0"/>
    <s v="Miss. Susanna Juhantytar Sanni&quot;&quot; Riihivouri"/>
    <x v="1"/>
    <x v="0"/>
    <n v="22"/>
    <x v="0"/>
    <x v="0"/>
    <n v="3101295"/>
    <x v="157"/>
    <n v="0"/>
    <x v="1"/>
  </r>
  <r>
    <n v="1260"/>
    <x v="1"/>
    <x v="1"/>
    <x v="2"/>
    <s v="Mrs. Leonard (Pauline C Boeson) Gibson"/>
    <x v="1"/>
    <x v="1"/>
    <n v="45"/>
    <x v="0"/>
    <x v="1"/>
    <n v="112378"/>
    <x v="18"/>
    <n v="0"/>
    <x v="2"/>
  </r>
  <r>
    <n v="1261"/>
    <x v="0"/>
    <x v="0"/>
    <x v="1"/>
    <s v="Mr. Emilio Pallas y Castello"/>
    <x v="0"/>
    <x v="0"/>
    <n v="29"/>
    <x v="0"/>
    <x v="0"/>
    <s v="SC/PARIS 2147"/>
    <x v="119"/>
    <n v="0"/>
    <x v="2"/>
  </r>
  <r>
    <n v="1262"/>
    <x v="0"/>
    <x v="0"/>
    <x v="1"/>
    <s v="Mr. Edgar Giles"/>
    <x v="0"/>
    <x v="0"/>
    <n v="21"/>
    <x v="1"/>
    <x v="0"/>
    <n v="28133"/>
    <x v="158"/>
    <n v="0"/>
    <x v="1"/>
  </r>
  <r>
    <n v="1263"/>
    <x v="1"/>
    <x v="1"/>
    <x v="2"/>
    <s v="Miss. Helen Alice Wilson"/>
    <x v="1"/>
    <x v="0"/>
    <n v="31"/>
    <x v="0"/>
    <x v="0"/>
    <n v="16966"/>
    <x v="108"/>
    <s v="E39 E41"/>
    <x v="2"/>
  </r>
  <r>
    <n v="1264"/>
    <x v="0"/>
    <x v="0"/>
    <x v="2"/>
    <s v="Mr. Joseph Bruce Ismay"/>
    <x v="0"/>
    <x v="1"/>
    <n v="49"/>
    <x v="0"/>
    <x v="0"/>
    <n v="112058"/>
    <x v="134"/>
    <s v="B52 B54 B56"/>
    <x v="1"/>
  </r>
  <r>
    <n v="1265"/>
    <x v="0"/>
    <x v="0"/>
    <x v="1"/>
    <s v="Mr. William H Harbeck"/>
    <x v="0"/>
    <x v="1"/>
    <n v="44"/>
    <x v="0"/>
    <x v="0"/>
    <n v="248746"/>
    <x v="37"/>
    <n v="0"/>
    <x v="1"/>
  </r>
  <r>
    <n v="1266"/>
    <x v="1"/>
    <x v="1"/>
    <x v="2"/>
    <s v="Mrs. Washington (Ruth Vidaver) Dodge"/>
    <x v="1"/>
    <x v="1"/>
    <n v="54"/>
    <x v="1"/>
    <x v="1"/>
    <n v="33638"/>
    <x v="138"/>
    <s v="A34"/>
    <x v="1"/>
  </r>
  <r>
    <n v="1267"/>
    <x v="1"/>
    <x v="1"/>
    <x v="2"/>
    <s v="Miss. Grace Scott Bowen"/>
    <x v="1"/>
    <x v="1"/>
    <n v="45"/>
    <x v="0"/>
    <x v="0"/>
    <s v="PC 17608"/>
    <x v="22"/>
    <n v="0"/>
    <x v="2"/>
  </r>
  <r>
    <n v="1268"/>
    <x v="1"/>
    <x v="1"/>
    <x v="0"/>
    <s v="Miss. Maria Kink"/>
    <x v="1"/>
    <x v="0"/>
    <n v="22"/>
    <x v="2"/>
    <x v="0"/>
    <n v="315152"/>
    <x v="3"/>
    <n v="0"/>
    <x v="1"/>
  </r>
  <r>
    <n v="1269"/>
    <x v="0"/>
    <x v="0"/>
    <x v="1"/>
    <s v="Mr. Henry Harry&quot;&quot; Cotterill"/>
    <x v="0"/>
    <x v="0"/>
    <n v="21"/>
    <x v="0"/>
    <x v="0"/>
    <n v="29107"/>
    <x v="158"/>
    <n v="0"/>
    <x v="1"/>
  </r>
  <r>
    <n v="1270"/>
    <x v="0"/>
    <x v="0"/>
    <x v="2"/>
    <s v="Mr. William Edward Hipkins"/>
    <x v="0"/>
    <x v="1"/>
    <n v="55"/>
    <x v="0"/>
    <x v="0"/>
    <n v="680"/>
    <x v="159"/>
    <s v="C39"/>
    <x v="1"/>
  </r>
  <r>
    <n v="1271"/>
    <x v="0"/>
    <x v="0"/>
    <x v="0"/>
    <s v="Master. Carl Edgar Asplund"/>
    <x v="0"/>
    <x v="3"/>
    <n v="5"/>
    <x v="4"/>
    <x v="3"/>
    <n v="347077"/>
    <x v="93"/>
    <n v="0"/>
    <x v="1"/>
  </r>
  <r>
    <n v="1272"/>
    <x v="0"/>
    <x v="0"/>
    <x v="0"/>
    <s v="Mr. Patrick O'Connor"/>
    <x v="0"/>
    <x v="0"/>
    <n v="30.272590187298931"/>
    <x v="0"/>
    <x v="0"/>
    <n v="366713"/>
    <x v="40"/>
    <n v="0"/>
    <x v="0"/>
  </r>
  <r>
    <n v="1273"/>
    <x v="0"/>
    <x v="0"/>
    <x v="0"/>
    <s v="Mr. Joseph Foley"/>
    <x v="0"/>
    <x v="0"/>
    <n v="26"/>
    <x v="0"/>
    <x v="0"/>
    <n v="330910"/>
    <x v="54"/>
    <n v="0"/>
    <x v="0"/>
  </r>
  <r>
    <n v="1274"/>
    <x v="1"/>
    <x v="1"/>
    <x v="0"/>
    <s v="Mrs. Samuel (Emma) Risien"/>
    <x v="1"/>
    <x v="0"/>
    <n v="30.272590187298931"/>
    <x v="0"/>
    <x v="0"/>
    <n v="364498"/>
    <x v="23"/>
    <n v="0"/>
    <x v="1"/>
  </r>
  <r>
    <n v="1275"/>
    <x v="1"/>
    <x v="1"/>
    <x v="0"/>
    <s v="Mrs. Neal (Eileen O'Leary) McNamee"/>
    <x v="1"/>
    <x v="3"/>
    <n v="19"/>
    <x v="1"/>
    <x v="0"/>
    <n v="376566"/>
    <x v="50"/>
    <n v="0"/>
    <x v="1"/>
  </r>
  <r>
    <n v="1276"/>
    <x v="0"/>
    <x v="0"/>
    <x v="1"/>
    <s v="Mr. Edwin Frederick&quot;&quot; Wheeler"/>
    <x v="0"/>
    <x v="0"/>
    <n v="30.272590187298931"/>
    <x v="0"/>
    <x v="0"/>
    <s v="SC/PARIS 2159"/>
    <x v="160"/>
    <n v="0"/>
    <x v="1"/>
  </r>
  <r>
    <n v="1277"/>
    <x v="1"/>
    <x v="1"/>
    <x v="1"/>
    <s v="Miss. Kate Herman"/>
    <x v="1"/>
    <x v="0"/>
    <n v="24"/>
    <x v="1"/>
    <x v="3"/>
    <n v="220845"/>
    <x v="122"/>
    <n v="0"/>
    <x v="1"/>
  </r>
  <r>
    <n v="1278"/>
    <x v="0"/>
    <x v="0"/>
    <x v="0"/>
    <s v="Mr. Ernst Axel Algot Aronsson"/>
    <x v="0"/>
    <x v="0"/>
    <n v="24"/>
    <x v="0"/>
    <x v="0"/>
    <n v="349911"/>
    <x v="64"/>
    <n v="0"/>
    <x v="1"/>
  </r>
  <r>
    <n v="1279"/>
    <x v="0"/>
    <x v="0"/>
    <x v="1"/>
    <s v="Mr. John Ashby"/>
    <x v="0"/>
    <x v="1"/>
    <n v="57"/>
    <x v="0"/>
    <x v="0"/>
    <n v="244346"/>
    <x v="37"/>
    <n v="0"/>
    <x v="1"/>
  </r>
  <r>
    <n v="1280"/>
    <x v="0"/>
    <x v="0"/>
    <x v="0"/>
    <s v="Mr. Patrick Canavan"/>
    <x v="0"/>
    <x v="0"/>
    <n v="21"/>
    <x v="0"/>
    <x v="0"/>
    <n v="364858"/>
    <x v="40"/>
    <n v="0"/>
    <x v="0"/>
  </r>
  <r>
    <n v="1281"/>
    <x v="0"/>
    <x v="0"/>
    <x v="0"/>
    <s v="Master. Paul Folke Palsson"/>
    <x v="0"/>
    <x v="3"/>
    <n v="6"/>
    <x v="3"/>
    <x v="1"/>
    <n v="349909"/>
    <x v="161"/>
    <n v="0"/>
    <x v="1"/>
  </r>
  <r>
    <n v="1282"/>
    <x v="0"/>
    <x v="0"/>
    <x v="2"/>
    <s v="Mr. Vivian Ponsonby Payne"/>
    <x v="0"/>
    <x v="0"/>
    <n v="23"/>
    <x v="0"/>
    <x v="0"/>
    <n v="12749"/>
    <x v="142"/>
    <s v="B24"/>
    <x v="1"/>
  </r>
  <r>
    <n v="1283"/>
    <x v="1"/>
    <x v="1"/>
    <x v="2"/>
    <s v="Mrs. Ernest H (Elizabeth Lindsey James) Lines"/>
    <x v="1"/>
    <x v="1"/>
    <n v="51"/>
    <x v="0"/>
    <x v="1"/>
    <s v="PC 17592"/>
    <x v="162"/>
    <s v="D28"/>
    <x v="1"/>
  </r>
  <r>
    <n v="1284"/>
    <x v="0"/>
    <x v="0"/>
    <x v="0"/>
    <s v="Master. Eugene Joseph Abbott"/>
    <x v="0"/>
    <x v="3"/>
    <n v="13"/>
    <x v="0"/>
    <x v="3"/>
    <s v="C.A. 2673"/>
    <x v="163"/>
    <n v="0"/>
    <x v="1"/>
  </r>
  <r>
    <n v="1285"/>
    <x v="0"/>
    <x v="0"/>
    <x v="1"/>
    <s v="Mr. William Gilbert"/>
    <x v="0"/>
    <x v="1"/>
    <n v="47"/>
    <x v="0"/>
    <x v="0"/>
    <s v="C.A. 30769"/>
    <x v="109"/>
    <n v="0"/>
    <x v="1"/>
  </r>
  <r>
    <n v="1286"/>
    <x v="0"/>
    <x v="0"/>
    <x v="0"/>
    <s v="Mr. Anton Kink-Heilmann"/>
    <x v="0"/>
    <x v="0"/>
    <n v="29"/>
    <x v="3"/>
    <x v="1"/>
    <n v="315153"/>
    <x v="97"/>
    <n v="0"/>
    <x v="1"/>
  </r>
  <r>
    <n v="1287"/>
    <x v="1"/>
    <x v="1"/>
    <x v="2"/>
    <s v="Mrs. Lucien Philip (Mary Eloise Hughes) Smith"/>
    <x v="1"/>
    <x v="3"/>
    <n v="18"/>
    <x v="1"/>
    <x v="0"/>
    <n v="13695"/>
    <x v="43"/>
    <s v="C31"/>
    <x v="1"/>
  </r>
  <r>
    <n v="1288"/>
    <x v="0"/>
    <x v="0"/>
    <x v="0"/>
    <s v="Mr. Patrick Colbert"/>
    <x v="0"/>
    <x v="0"/>
    <n v="24"/>
    <x v="0"/>
    <x v="0"/>
    <n v="371109"/>
    <x v="82"/>
    <n v="0"/>
    <x v="0"/>
  </r>
  <r>
    <n v="1289"/>
    <x v="1"/>
    <x v="1"/>
    <x v="2"/>
    <s v="Mrs. Maxmillian (Margaretha Emerentia Stehli) Frolicher-Stehli"/>
    <x v="1"/>
    <x v="1"/>
    <n v="48"/>
    <x v="1"/>
    <x v="1"/>
    <n v="13567"/>
    <x v="148"/>
    <s v="B41"/>
    <x v="2"/>
  </r>
  <r>
    <n v="1290"/>
    <x v="0"/>
    <x v="0"/>
    <x v="0"/>
    <s v="Mr. Edvard A Larsson-Rondberg"/>
    <x v="0"/>
    <x v="0"/>
    <n v="22"/>
    <x v="0"/>
    <x v="0"/>
    <n v="347065"/>
    <x v="64"/>
    <n v="0"/>
    <x v="1"/>
  </r>
  <r>
    <n v="1291"/>
    <x v="0"/>
    <x v="0"/>
    <x v="0"/>
    <s v="Mr. Thomas Henry Conlon"/>
    <x v="0"/>
    <x v="0"/>
    <n v="31"/>
    <x v="0"/>
    <x v="0"/>
    <n v="21332"/>
    <x v="96"/>
    <n v="0"/>
    <x v="0"/>
  </r>
  <r>
    <n v="1292"/>
    <x v="1"/>
    <x v="1"/>
    <x v="2"/>
    <s v="Miss. Caroline Bonnell"/>
    <x v="1"/>
    <x v="0"/>
    <n v="30"/>
    <x v="0"/>
    <x v="0"/>
    <n v="36928"/>
    <x v="118"/>
    <s v="C7"/>
    <x v="1"/>
  </r>
  <r>
    <n v="1293"/>
    <x v="0"/>
    <x v="0"/>
    <x v="1"/>
    <s v="Mr. Harry Gale"/>
    <x v="0"/>
    <x v="0"/>
    <n v="38"/>
    <x v="1"/>
    <x v="0"/>
    <n v="28664"/>
    <x v="53"/>
    <n v="0"/>
    <x v="1"/>
  </r>
  <r>
    <n v="1294"/>
    <x v="1"/>
    <x v="1"/>
    <x v="2"/>
    <s v="Miss. Dorothy Winifred Gibson"/>
    <x v="1"/>
    <x v="0"/>
    <n v="22"/>
    <x v="0"/>
    <x v="1"/>
    <n v="112378"/>
    <x v="18"/>
    <n v="0"/>
    <x v="2"/>
  </r>
  <r>
    <n v="1295"/>
    <x v="0"/>
    <x v="0"/>
    <x v="2"/>
    <s v="Mr. Jose Pedro Carrau"/>
    <x v="0"/>
    <x v="3"/>
    <n v="17"/>
    <x v="0"/>
    <x v="0"/>
    <n v="113059"/>
    <x v="164"/>
    <n v="0"/>
    <x v="1"/>
  </r>
  <r>
    <n v="1296"/>
    <x v="0"/>
    <x v="0"/>
    <x v="2"/>
    <s v="Mr. Isaac Gerald Frauenthal"/>
    <x v="0"/>
    <x v="1"/>
    <n v="43"/>
    <x v="1"/>
    <x v="0"/>
    <n v="17765"/>
    <x v="14"/>
    <s v="D40"/>
    <x v="2"/>
  </r>
  <r>
    <n v="1297"/>
    <x v="0"/>
    <x v="0"/>
    <x v="1"/>
    <s v="Mr. Alfred (Baron von Drachstedt&quot;)&quot; Nourney"/>
    <x v="0"/>
    <x v="0"/>
    <n v="20"/>
    <x v="0"/>
    <x v="0"/>
    <s v="SC/PARIS 2166"/>
    <x v="165"/>
    <s v="D38"/>
    <x v="2"/>
  </r>
  <r>
    <n v="1298"/>
    <x v="0"/>
    <x v="0"/>
    <x v="1"/>
    <s v="Mr. William Jeffery Ware"/>
    <x v="0"/>
    <x v="0"/>
    <n v="23"/>
    <x v="1"/>
    <x v="0"/>
    <n v="28666"/>
    <x v="109"/>
    <n v="0"/>
    <x v="1"/>
  </r>
  <r>
    <n v="1299"/>
    <x v="0"/>
    <x v="0"/>
    <x v="2"/>
    <s v="Mr. George Dunton Widener"/>
    <x v="0"/>
    <x v="1"/>
    <n v="50"/>
    <x v="1"/>
    <x v="1"/>
    <n v="113503"/>
    <x v="57"/>
    <s v="C80"/>
    <x v="2"/>
  </r>
  <r>
    <n v="1300"/>
    <x v="1"/>
    <x v="1"/>
    <x v="0"/>
    <s v="Miss. Johanna Hannah&quot;&quot; Riordan"/>
    <x v="1"/>
    <x v="0"/>
    <n v="30.272590187298931"/>
    <x v="0"/>
    <x v="0"/>
    <n v="334915"/>
    <x v="166"/>
    <n v="0"/>
    <x v="0"/>
  </r>
  <r>
    <n v="1301"/>
    <x v="1"/>
    <x v="1"/>
    <x v="0"/>
    <s v="Miss. Treasteall Peacock"/>
    <x v="1"/>
    <x v="3"/>
    <n v="3"/>
    <x v="1"/>
    <x v="1"/>
    <s v="SOTON/O.Q. 3101315"/>
    <x v="95"/>
    <n v="0"/>
    <x v="1"/>
  </r>
  <r>
    <n v="1302"/>
    <x v="1"/>
    <x v="1"/>
    <x v="0"/>
    <s v="Miss. Hannah Naughton"/>
    <x v="1"/>
    <x v="0"/>
    <n v="30.272590187298931"/>
    <x v="0"/>
    <x v="0"/>
    <n v="365237"/>
    <x v="40"/>
    <n v="0"/>
    <x v="0"/>
  </r>
  <r>
    <n v="1303"/>
    <x v="1"/>
    <x v="1"/>
    <x v="2"/>
    <s v="Mrs. William Edward (Lillian E Thorpe) Minahan"/>
    <x v="1"/>
    <x v="0"/>
    <n v="37"/>
    <x v="1"/>
    <x v="0"/>
    <n v="19928"/>
    <x v="167"/>
    <s v="C78"/>
    <x v="0"/>
  </r>
  <r>
    <n v="1304"/>
    <x v="1"/>
    <x v="1"/>
    <x v="0"/>
    <s v="Miss. Jenny Lovisa Henriksson"/>
    <x v="1"/>
    <x v="0"/>
    <n v="28"/>
    <x v="0"/>
    <x v="0"/>
    <n v="347086"/>
    <x v="64"/>
    <n v="0"/>
    <x v="1"/>
  </r>
  <r>
    <n v="1305"/>
    <x v="0"/>
    <x v="0"/>
    <x v="0"/>
    <s v="Mr. Woolf Spector"/>
    <x v="0"/>
    <x v="0"/>
    <n v="30.272590187298931"/>
    <x v="0"/>
    <x v="0"/>
    <s v="A.5. 3236"/>
    <x v="31"/>
    <n v="0"/>
    <x v="1"/>
  </r>
  <r>
    <n v="1306"/>
    <x v="1"/>
    <x v="1"/>
    <x v="2"/>
    <s v="Dona. Fermina Oliva y Ocana"/>
    <x v="1"/>
    <x v="0"/>
    <n v="39"/>
    <x v="0"/>
    <x v="0"/>
    <s v="PC 17758"/>
    <x v="168"/>
    <s v="C105"/>
    <x v="2"/>
  </r>
  <r>
    <n v="1307"/>
    <x v="0"/>
    <x v="0"/>
    <x v="0"/>
    <s v="Mr. Simon Sivertsen Saether"/>
    <x v="0"/>
    <x v="0"/>
    <n v="38.5"/>
    <x v="0"/>
    <x v="0"/>
    <s v="SOTON/O.Q. 3101262"/>
    <x v="82"/>
    <n v="0"/>
    <x v="1"/>
  </r>
  <r>
    <n v="1308"/>
    <x v="0"/>
    <x v="0"/>
    <x v="0"/>
    <s v="Mr. Frederick Ware"/>
    <x v="0"/>
    <x v="0"/>
    <n v="30.272590187298931"/>
    <x v="0"/>
    <x v="0"/>
    <n v="359309"/>
    <x v="31"/>
    <n v="0"/>
    <x v="1"/>
  </r>
  <r>
    <n v="1309"/>
    <x v="0"/>
    <x v="0"/>
    <x v="0"/>
    <s v="Master. Michael J Peter"/>
    <x v="0"/>
    <x v="0"/>
    <n v="30.272590187298931"/>
    <x v="1"/>
    <x v="1"/>
    <n v="2668"/>
    <x v="169"/>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87856-4394-41CA-BA57-CCEB51A40AB4}"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111:W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Max of Fare" fld="11" subtotal="max" baseField="0" baseItem="0" numFmtId="165"/>
  </dataFields>
  <formats count="1">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9168F1-C53B-48C7-B7F8-773BE0A183E9}"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111:V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Average of Fare" fld="11" subtotal="average" baseField="0" baseItem="0" numFmtId="165"/>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94CF3A-0181-4823-9AA5-CEAE98B24C95}"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U10:W14" firstHeaderRow="0" firstDataRow="1" firstDataCol="1"/>
  <pivotFields count="14">
    <pivotField dataField="1" numFmtId="49" showAll="0"/>
    <pivotField showAll="0"/>
    <pivotField showAll="0">
      <items count="3">
        <item x="0"/>
        <item x="1"/>
        <item t="default"/>
      </items>
    </pivotField>
    <pivotField axis="axisRow" showAll="0" sortType="descending">
      <items count="7">
        <item m="1" x="4"/>
        <item m="1" x="3"/>
        <item m="1" x="5"/>
        <item x="0"/>
        <item x="1"/>
        <item x="2"/>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 showAll="0"/>
    <pivotField numFmtId="1" showAll="0"/>
    <pivotField showAll="0"/>
    <pivotField showAll="0"/>
    <pivotField showAll="0"/>
    <pivotField numFmtId="164" showAll="0"/>
    <pivotField showAll="0"/>
    <pivotField showAll="0">
      <items count="4">
        <item x="2"/>
        <item x="0"/>
        <item x="1"/>
        <item t="default"/>
      </items>
    </pivotField>
  </pivotFields>
  <rowFields count="1">
    <field x="3"/>
  </rowFields>
  <rowItems count="4">
    <i>
      <x v="3"/>
    </i>
    <i>
      <x v="5"/>
    </i>
    <i>
      <x v="4"/>
    </i>
    <i t="grand">
      <x/>
    </i>
  </rowItems>
  <colFields count="1">
    <field x="-2"/>
  </colFields>
  <colItems count="2">
    <i>
      <x/>
    </i>
    <i i="1">
      <x v="1"/>
    </i>
  </colItems>
  <dataFields count="2">
    <dataField name="Count of PassengerId" fld="0" subtotal="count" baseField="0" baseItem="0"/>
    <dataField name="Sum of PassengerId" fld="0" showDataAs="percentOfTotal" baseField="0" baseItem="0" numFmtId="10"/>
  </dataFields>
  <formats count="1">
    <format dxfId="36">
      <pivotArea collapsedLevelsAreSubtotals="1" fieldPosition="0">
        <references count="2">
          <reference field="4294967294" count="1" selected="0">
            <x v="1"/>
          </reference>
          <reference field="3" count="0"/>
        </references>
      </pivotArea>
    </format>
  </formats>
  <chartFormats count="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9C8BC3-4E24-4624-96C9-F725A0966169}"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111:U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Sum of Fare" fld="11" baseField="0" baseItem="0" numFmtId="165"/>
  </dataFields>
  <formats count="1">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8525CA-4DC6-4A12-84B3-380E967389C2}"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U76:V83" firstHeaderRow="1"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showAll="0" sortType="descending">
      <autoSortScope>
        <pivotArea dataOnly="0" outline="0" fieldPosition="0">
          <references count="1">
            <reference field="4294967294" count="1" selected="0">
              <x v="0"/>
            </reference>
          </references>
        </pivotArea>
      </autoSortScope>
    </pivotField>
    <pivotField numFmtId="1" showAll="0"/>
    <pivotField axis="axisRow" showAll="0" sortType="ascending">
      <items count="8">
        <item h="1" x="0"/>
        <item x="1"/>
        <item x="2"/>
        <item x="3"/>
        <item x="4"/>
        <item x="5"/>
        <item x="6"/>
        <item t="default"/>
      </items>
      <autoSortScope>
        <pivotArea dataOnly="0" outline="0" fieldPosition="0">
          <references count="1">
            <reference field="4294967294" count="1" selected="0">
              <x v="0"/>
            </reference>
          </references>
        </pivotArea>
      </autoSortScope>
    </pivotField>
    <pivotField showAll="0"/>
    <pivotField showAll="0"/>
    <pivotField numFmtId="164" showAll="0"/>
    <pivotField showAll="0"/>
    <pivotField showAll="0">
      <items count="4">
        <item x="2"/>
        <item x="0"/>
        <item x="1"/>
        <item t="default"/>
      </items>
    </pivotField>
  </pivotFields>
  <rowFields count="1">
    <field x="8"/>
  </rowFields>
  <rowItems count="7">
    <i>
      <x v="5"/>
    </i>
    <i>
      <x v="6"/>
    </i>
    <i>
      <x v="3"/>
    </i>
    <i>
      <x v="4"/>
    </i>
    <i>
      <x v="2"/>
    </i>
    <i>
      <x v="1"/>
    </i>
    <i t="grand">
      <x/>
    </i>
  </rowItems>
  <colItems count="1">
    <i/>
  </colItems>
  <dataFields count="1">
    <dataField name="Count of PassengerId" fld="0" subtotal="count" baseField="0" baseItem="0"/>
  </dataFields>
  <chartFormats count="3">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CC929A9-8665-48C9-B9EE-79A76BCDAC71}"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U53:V58" firstHeaderRow="1"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axis="axisRow" showAll="0" sortType="descending">
      <items count="14">
        <item m="1" x="4"/>
        <item m="1" x="7"/>
        <item m="1" x="12"/>
        <item m="1" x="8"/>
        <item m="1" x="10"/>
        <item m="1" x="11"/>
        <item m="1" x="9"/>
        <item x="0"/>
        <item x="1"/>
        <item m="1" x="6"/>
        <item m="1" x="5"/>
        <item x="2"/>
        <item x="3"/>
        <item t="default"/>
      </items>
      <autoSortScope>
        <pivotArea dataOnly="0" outline="0" fieldPosition="0">
          <references count="1">
            <reference field="4294967294" count="1" selected="0">
              <x v="0"/>
            </reference>
          </references>
        </pivotArea>
      </autoSortScope>
    </pivotField>
    <pivotField numFmtId="1" showAll="0"/>
    <pivotField showAll="0"/>
    <pivotField showAll="0"/>
    <pivotField showAll="0"/>
    <pivotField numFmtId="164" showAll="0"/>
    <pivotField showAll="0"/>
    <pivotField showAll="0">
      <items count="4">
        <item x="2"/>
        <item x="0"/>
        <item x="1"/>
        <item t="default"/>
      </items>
    </pivotField>
  </pivotFields>
  <rowFields count="1">
    <field x="6"/>
  </rowFields>
  <rowItems count="5">
    <i>
      <x v="7"/>
    </i>
    <i>
      <x v="8"/>
    </i>
    <i>
      <x v="12"/>
    </i>
    <i>
      <x v="11"/>
    </i>
    <i t="grand">
      <x/>
    </i>
  </rowItems>
  <colItems count="1">
    <i/>
  </colItems>
  <dataFields count="1">
    <dataField name="Count of PassengerId" fld="0" subtotal="count" baseField="0" baseItem="0"/>
  </dataFields>
  <formats count="2">
    <format dxfId="39">
      <pivotArea collapsedLevelsAreSubtotals="1" fieldPosition="0">
        <references count="1">
          <reference field="6" count="1">
            <x v="4"/>
          </reference>
        </references>
      </pivotArea>
    </format>
    <format dxfId="38">
      <pivotArea collapsedLevelsAreSubtotals="1" fieldPosition="0">
        <references count="1">
          <reference field="6"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88A445-B9BB-40A4-BB58-BF147C77EA5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422:C423"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dataField="1" numFmtId="1" showAll="0"/>
    <pivotField showAll="0"/>
    <pivotField showAll="0"/>
    <pivotField showAll="0"/>
    <pivotField numFmtId="164" showAll="0"/>
    <pivotField showAll="0"/>
    <pivotField showAll="0">
      <items count="4">
        <item x="2"/>
        <item x="0"/>
        <item x="1"/>
        <item t="default"/>
      </items>
    </pivotField>
  </pivotFields>
  <rowItems count="1">
    <i/>
  </rowItems>
  <colItems count="1">
    <i/>
  </colItems>
  <dataFields count="1">
    <dataField name="Average of Age" fld="7" subtotal="average" baseField="0" baseItem="0" numFmtId="1"/>
  </dataFields>
  <formats count="4">
    <format dxfId="43">
      <pivotArea outline="0" collapsedLevelsAreSubtotals="1" fieldPosition="0"/>
    </format>
    <format dxfId="42">
      <pivotArea type="all" dataOnly="0" outline="0" fieldPosition="0"/>
    </format>
    <format dxfId="41">
      <pivotArea outline="0" collapsedLevelsAreSubtotals="1" fieldPosition="0"/>
    </format>
    <format dxfId="4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D6EED31-7C4A-4BE2-85DA-099F45CF3570}" name="PivotTable2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111:X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Min of Fare" fld="11" subtotal="min" baseField="0" baseItem="0" numFmtId="165"/>
  </dataFields>
  <formats count="1">
    <format dxfId="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8314C78-E5D8-474A-97D1-0DC898E777B5}"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U33:W36" firstHeaderRow="0" firstDataRow="1" firstDataCol="1"/>
  <pivotFields count="14">
    <pivotField dataField="1" numFmtId="49" showAll="0"/>
    <pivotField showAll="0"/>
    <pivotField showAll="0">
      <items count="3">
        <item x="0"/>
        <item x="1"/>
        <item t="default"/>
      </items>
    </pivotField>
    <pivotField showAll="0"/>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pivotField showAll="0"/>
    <pivotField numFmtId="164" showAll="0"/>
    <pivotField showAll="0"/>
    <pivotField showAll="0">
      <items count="4">
        <item x="2"/>
        <item x="0"/>
        <item x="1"/>
        <item t="default"/>
      </items>
    </pivotField>
  </pivotFields>
  <rowFields count="1">
    <field x="5"/>
  </rowFields>
  <rowItems count="3">
    <i>
      <x v="1"/>
    </i>
    <i>
      <x/>
    </i>
    <i t="grand">
      <x/>
    </i>
  </rowItems>
  <colFields count="1">
    <field x="-2"/>
  </colFields>
  <colItems count="2">
    <i>
      <x/>
    </i>
    <i i="1">
      <x v="1"/>
    </i>
  </colItems>
  <dataFields count="2">
    <dataField name="Count of PassengerId" fld="0" subtotal="count" baseField="0" baseItem="0"/>
    <dataField name="Sum of PassengerId" fld="0" showDataAs="percentOfTotal" baseField="0" baseItem="0" numFmtId="10"/>
  </dataFields>
  <formats count="1">
    <format dxfId="45">
      <pivotArea collapsedLevelsAreSubtotals="1" fieldPosition="0">
        <references count="2">
          <reference field="4294967294" count="1" selected="0">
            <x v="1"/>
          </reference>
          <reference field="5" count="0"/>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1"/>
          </reference>
          <reference field="5" count="1" selected="0">
            <x v="1"/>
          </reference>
        </references>
      </pivotArea>
    </chartFormat>
    <chartFormat chart="0" format="5">
      <pivotArea type="data" outline="0" fieldPosition="0">
        <references count="2">
          <reference field="4294967294" count="1" selected="0">
            <x v="1"/>
          </reference>
          <reference field="5" count="1" selected="0">
            <x v="0"/>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5" count="1" selected="0">
            <x v="1"/>
          </reference>
        </references>
      </pivotArea>
    </chartFormat>
    <chartFormat chart="2" format="14">
      <pivotArea type="data" outline="0" fieldPosition="0">
        <references count="2">
          <reference field="4294967294" count="1" selected="0">
            <x v="0"/>
          </reference>
          <reference field="5" count="1" selected="0">
            <x v="0"/>
          </reference>
        </references>
      </pivotArea>
    </chartFormat>
    <chartFormat chart="2" format="15" series="1">
      <pivotArea type="data" outline="0" fieldPosition="0">
        <references count="1">
          <reference field="4294967294" count="1" selected="0">
            <x v="1"/>
          </reference>
        </references>
      </pivotArea>
    </chartFormat>
    <chartFormat chart="2" format="16">
      <pivotArea type="data" outline="0" fieldPosition="0">
        <references count="2">
          <reference field="4294967294" count="1" selected="0">
            <x v="1"/>
          </reference>
          <reference field="5" count="1" selected="0">
            <x v="1"/>
          </reference>
        </references>
      </pivotArea>
    </chartFormat>
    <chartFormat chart="2" format="17">
      <pivotArea type="data" outline="0" fieldPosition="0">
        <references count="2">
          <reference field="4294967294" count="1" selected="0">
            <x v="1"/>
          </reference>
          <reference field="5" count="1" selected="0">
            <x v="0"/>
          </reference>
        </references>
      </pivotArea>
    </chartFormat>
    <chartFormat chart="4" format="24" series="1">
      <pivotArea type="data" outline="0" fieldPosition="0">
        <references count="1">
          <reference field="4294967294" count="1" selected="0">
            <x v="0"/>
          </reference>
        </references>
      </pivotArea>
    </chartFormat>
    <chartFormat chart="4" format="25">
      <pivotArea type="data" outline="0" fieldPosition="0">
        <references count="2">
          <reference field="4294967294" count="1" selected="0">
            <x v="0"/>
          </reference>
          <reference field="5" count="1" selected="0">
            <x v="1"/>
          </reference>
        </references>
      </pivotArea>
    </chartFormat>
    <chartFormat chart="4" format="26">
      <pivotArea type="data" outline="0" fieldPosition="0">
        <references count="2">
          <reference field="4294967294" count="1" selected="0">
            <x v="0"/>
          </reference>
          <reference field="5" count="1" selected="0">
            <x v="0"/>
          </reference>
        </references>
      </pivotArea>
    </chartFormat>
    <chartFormat chart="4" format="27" series="1">
      <pivotArea type="data" outline="0" fieldPosition="0">
        <references count="1">
          <reference field="4294967294" count="1" selected="0">
            <x v="1"/>
          </reference>
        </references>
      </pivotArea>
    </chartFormat>
    <chartFormat chart="4" format="28">
      <pivotArea type="data" outline="0" fieldPosition="0">
        <references count="2">
          <reference field="4294967294" count="1" selected="0">
            <x v="1"/>
          </reference>
          <reference field="5" count="1" selected="0">
            <x v="1"/>
          </reference>
        </references>
      </pivotArea>
    </chartFormat>
    <chartFormat chart="4" format="29">
      <pivotArea type="data" outline="0" fieldPosition="0">
        <references count="2">
          <reference field="4294967294" count="1" selected="0">
            <x v="1"/>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6F075CF-6993-45E6-8326-A471A7580004}"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426:D427"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Sum of Fare" fld="11" baseField="0" baseItem="0" numFmtId="165"/>
  </dataFields>
  <formats count="5">
    <format dxfId="50">
      <pivotArea outline="0" collapsedLevelsAreSubtotals="1" fieldPosition="0"/>
    </format>
    <format dxfId="49">
      <pivotArea type="all" dataOnly="0" outline="0" fieldPosition="0"/>
    </format>
    <format dxfId="48">
      <pivotArea outline="0" collapsedLevelsAreSubtotals="1" fieldPosition="0"/>
    </format>
    <format dxfId="47">
      <pivotArea dataOnly="0" labelOnly="1" outline="0" axis="axisValues" fieldPosition="0"/>
    </format>
    <format dxfId="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A4D6B23-8880-40A6-83E8-001B18ACA2D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22:A423"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dataField="1" numFmtId="1" showAll="0"/>
    <pivotField showAll="0"/>
    <pivotField showAll="0"/>
    <pivotField showAll="0"/>
    <pivotField numFmtId="164" showAll="0"/>
    <pivotField showAll="0"/>
    <pivotField showAll="0">
      <items count="4">
        <item x="2"/>
        <item x="0"/>
        <item x="1"/>
        <item t="default"/>
      </items>
    </pivotField>
  </pivotFields>
  <rowItems count="1">
    <i/>
  </rowItems>
  <colItems count="1">
    <i/>
  </colItems>
  <dataFields count="1">
    <dataField name="Min of Age" fld="7" subtotal="min" baseField="0" baseItem="0"/>
  </dataFields>
  <formats count="3">
    <format dxfId="53">
      <pivotArea type="all" dataOnly="0" outline="0" fieldPosition="0"/>
    </format>
    <format dxfId="52">
      <pivotArea outline="0" collapsedLevelsAreSubtotals="1" fieldPosition="0"/>
    </format>
    <format dxfId="5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5EA7279-6385-47DA-905E-134A359F8D3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426:C427"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Average of Fare" fld="11" subtotal="average" baseField="0" baseItem="0" numFmtId="165"/>
  </dataFields>
  <formats count="5">
    <format dxfId="58">
      <pivotArea outline="0" collapsedLevelsAreSubtotals="1" fieldPosition="0"/>
    </format>
    <format dxfId="57">
      <pivotArea type="all" dataOnly="0" outline="0" fieldPosition="0"/>
    </format>
    <format dxfId="56">
      <pivotArea outline="0" collapsedLevelsAreSubtotals="1" fieldPosition="0"/>
    </format>
    <format dxfId="55">
      <pivotArea dataOnly="0" labelOnly="1" outline="0" axis="axisValues" fieldPosition="0"/>
    </format>
    <format dxfId="5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0AF88C3-6231-42D5-9305-60C041D98F1B}" name="PivotTable2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U143:W148" firstHeaderRow="1" firstDataRow="2" firstDataCol="1"/>
  <pivotFields count="14">
    <pivotField dataField="1" numFmtId="49" showAll="0" defaultSubtotal="0"/>
    <pivotField showAll="0" defaultSubtotal="0"/>
    <pivotField showAll="0" defaultSubtotal="0">
      <items count="2">
        <item x="0"/>
        <item x="1"/>
      </items>
    </pivotField>
    <pivotField axis="axisRow" showAll="0" defaultSubtotal="0">
      <items count="6">
        <item m="1" x="4"/>
        <item m="1" x="3"/>
        <item m="1" x="5"/>
        <item x="2"/>
        <item x="1"/>
        <item x="0"/>
      </items>
    </pivotField>
    <pivotField showAll="0" defaultSubtotal="0"/>
    <pivotField axis="axisCol" showAll="0" defaultSubtotal="0">
      <items count="2">
        <item x="1"/>
        <item x="0"/>
      </items>
    </pivotField>
    <pivotField showAll="0" defaultSubtotal="0"/>
    <pivotField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Fields count="1">
    <field x="3"/>
  </rowFields>
  <rowItems count="4">
    <i>
      <x v="3"/>
    </i>
    <i>
      <x v="4"/>
    </i>
    <i>
      <x v="5"/>
    </i>
    <i t="grand">
      <x/>
    </i>
  </rowItems>
  <colFields count="1">
    <field x="5"/>
  </colFields>
  <colItems count="2">
    <i>
      <x/>
    </i>
    <i>
      <x v="1"/>
    </i>
  </colItems>
  <dataFields count="1">
    <dataField name="Count of PassengerId" fld="0" subtotal="count" baseField="0" baseItem="0"/>
  </dataFields>
  <chartFormats count="10">
    <chartFormat chart="1" format="7" series="1">
      <pivotArea type="data" outline="0" fieldPosition="0">
        <references count="1">
          <reference field="3" count="1" selected="0">
            <x v="3"/>
          </reference>
        </references>
      </pivotArea>
    </chartFormat>
    <chartFormat chart="1" format="8" series="1">
      <pivotArea type="data" outline="0" fieldPosition="0">
        <references count="1">
          <reference field="3" count="1" selected="0">
            <x v="4"/>
          </reference>
        </references>
      </pivotArea>
    </chartFormat>
    <chartFormat chart="1" format="9" series="1">
      <pivotArea type="data" outline="0" fieldPosition="0">
        <references count="1">
          <reference field="3" count="1" selected="0">
            <x v="5"/>
          </reference>
        </references>
      </pivotArea>
    </chartFormat>
    <chartFormat chart="0" format="13" series="1">
      <pivotArea type="data" outline="0" fieldPosition="0">
        <references count="1">
          <reference field="3" count="1" selected="0">
            <x v="3"/>
          </reference>
        </references>
      </pivotArea>
    </chartFormat>
    <chartFormat chart="0" format="14" series="1">
      <pivotArea type="data" outline="0" fieldPosition="0">
        <references count="1">
          <reference field="3" count="1" selected="0">
            <x v="4"/>
          </reference>
        </references>
      </pivotArea>
    </chartFormat>
    <chartFormat chart="0" format="15" series="1">
      <pivotArea type="data" outline="0" fieldPosition="0">
        <references count="1">
          <reference field="3" count="1" selected="0">
            <x v="5"/>
          </reference>
        </references>
      </pivotArea>
    </chartFormat>
    <chartFormat chart="1" format="11" series="1">
      <pivotArea type="data" outline="0" fieldPosition="0">
        <references count="1">
          <reference field="4294967294" count="1" selected="0">
            <x v="0"/>
          </reference>
        </references>
      </pivotArea>
    </chartFormat>
    <chartFormat chart="0" format="17" series="1">
      <pivotArea type="data" outline="0" fieldPosition="0">
        <references count="1">
          <reference field="4294967294" count="1" selected="0">
            <x v="0"/>
          </reference>
        </references>
      </pivotArea>
    </chartFormat>
    <chartFormat chart="1" format="12" series="1">
      <pivotArea type="data" outline="0" fieldPosition="0">
        <references count="2">
          <reference field="4294967294" count="1" selected="0">
            <x v="0"/>
          </reference>
          <reference field="5" count="1" selected="0">
            <x v="0"/>
          </reference>
        </references>
      </pivotArea>
    </chartFormat>
    <chartFormat chart="1" format="13"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153B872-2BCD-479B-9C6A-97464D3AEAD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422:D423"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dataField="1" numFmtId="1" showAll="0"/>
    <pivotField showAll="0"/>
    <pivotField showAll="0"/>
    <pivotField showAll="0"/>
    <pivotField numFmtId="164" showAll="0"/>
    <pivotField showAll="0"/>
    <pivotField showAll="0">
      <items count="4">
        <item x="2"/>
        <item x="0"/>
        <item x="1"/>
        <item t="default"/>
      </items>
    </pivotField>
  </pivotFields>
  <rowItems count="1">
    <i/>
  </rowItems>
  <colItems count="1">
    <i/>
  </colItems>
  <dataFields count="1">
    <dataField name="Sum of Age" fld="7" baseField="0" baseItem="0" numFmtId="1"/>
  </dataFields>
  <formats count="4">
    <format dxfId="62">
      <pivotArea outline="0" collapsedLevelsAreSubtotals="1" fieldPosition="0"/>
    </format>
    <format dxfId="61">
      <pivotArea type="all" dataOnly="0" outline="0" fieldPosition="0"/>
    </format>
    <format dxfId="60">
      <pivotArea outline="0" collapsedLevelsAreSubtotals="1" fieldPosition="0"/>
    </format>
    <format dxfId="5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5F59F6B-960C-4810-BC7F-B9AAC9479641}"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104:V106" firstHeaderRow="1"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showAll="0" sortType="descending">
      <autoSortScope>
        <pivotArea dataOnly="0" outline="0" fieldPosition="0">
          <references count="1">
            <reference field="4294967294" count="1" selected="0">
              <x v="0"/>
            </reference>
          </references>
        </pivotArea>
      </autoSortScope>
    </pivotField>
    <pivotField numFmtId="1" showAll="0"/>
    <pivotField showAll="0"/>
    <pivotField axis="axisRow" showAll="0">
      <items count="9">
        <item h="1" x="0"/>
        <item x="1"/>
        <item h="1" x="3"/>
        <item h="1" x="2"/>
        <item h="1" x="4"/>
        <item h="1" x="6"/>
        <item h="1" x="5"/>
        <item h="1" x="7"/>
        <item t="default"/>
      </items>
    </pivotField>
    <pivotField showAll="0"/>
    <pivotField numFmtId="164" showAll="0"/>
    <pivotField showAll="0"/>
    <pivotField showAll="0">
      <items count="4">
        <item x="2"/>
        <item x="0"/>
        <item x="1"/>
        <item t="default"/>
      </items>
    </pivotField>
  </pivotFields>
  <rowFields count="1">
    <field x="9"/>
  </rowFields>
  <rowItems count="2">
    <i>
      <x v="1"/>
    </i>
    <i t="grand">
      <x/>
    </i>
  </rowItems>
  <colItems count="1">
    <i/>
  </colItems>
  <dataFields count="1">
    <dataField name="Count of Passenger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C5DAD0F-2DA9-43EB-B4E9-362E7D24118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26:A427"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Min of Fare" fld="11" subtotal="min" baseField="0" baseItem="0" numFmtId="164"/>
  </dataFields>
  <formats count="4">
    <format dxfId="66">
      <pivotArea outline="0" collapsedLevelsAreSubtotals="1" fieldPosition="0"/>
    </format>
    <format dxfId="65">
      <pivotArea type="all" dataOnly="0" outline="0" fieldPosition="0"/>
    </format>
    <format dxfId="64">
      <pivotArea outline="0" collapsedLevelsAreSubtotals="1" fieldPosition="0"/>
    </format>
    <format dxfId="6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A4C2239-4A5E-4AB1-BFC9-355B58F731E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22:B423"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dataField="1" numFmtId="1" showAll="0"/>
    <pivotField showAll="0"/>
    <pivotField showAll="0"/>
    <pivotField showAll="0"/>
    <pivotField numFmtId="164" showAll="0"/>
    <pivotField showAll="0"/>
    <pivotField showAll="0">
      <items count="4">
        <item x="2"/>
        <item x="0"/>
        <item x="1"/>
        <item t="default"/>
      </items>
    </pivotField>
  </pivotFields>
  <rowItems count="1">
    <i/>
  </rowItems>
  <colItems count="1">
    <i/>
  </colItems>
  <dataFields count="1">
    <dataField name="Max of Age" fld="7" subtotal="max" baseField="0" baseItem="0"/>
  </dataFields>
  <formats count="3">
    <format dxfId="69">
      <pivotArea type="all" dataOnly="0" outline="0" fieldPosition="0"/>
    </format>
    <format dxfId="68">
      <pivotArea outline="0" collapsedLevelsAreSubtotals="1" fieldPosition="0"/>
    </format>
    <format dxfId="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713B917-94DC-499D-8892-215498A61D4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26:B427"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Max of Fare" fld="11" subtotal="max" baseField="0" baseItem="0" numFmtId="165"/>
  </dataFields>
  <formats count="5">
    <format dxfId="74">
      <pivotArea outline="0" collapsedLevelsAreSubtotals="1" fieldPosition="0"/>
    </format>
    <format dxfId="73">
      <pivotArea type="all" dataOnly="0" outline="0" fieldPosition="0"/>
    </format>
    <format dxfId="72">
      <pivotArea outline="0" collapsedLevelsAreSubtotals="1" fieldPosition="0"/>
    </format>
    <format dxfId="71">
      <pivotArea dataOnly="0" labelOnly="1" outline="0" axis="axisValues" fieldPosition="0"/>
    </format>
    <format dxfId="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D639001-C9EB-4CDF-BDEC-A3A416AF8956}"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U5:V6" firstHeaderRow="0" firstDataRow="1" firstDataCol="0"/>
  <pivotFields count="14">
    <pivotField dataField="1" numFmtId="49" showAll="0"/>
    <pivotField showAll="0"/>
    <pivotField showAll="0">
      <items count="3">
        <item x="0"/>
        <item x="1"/>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 showAll="0"/>
    <pivotField numFmtId="1" showAll="0"/>
    <pivotField showAll="0"/>
    <pivotField showAll="0"/>
    <pivotField showAll="0"/>
    <pivotField numFmtId="164" showAll="0"/>
    <pivotField showAll="0"/>
    <pivotField showAll="0">
      <items count="4">
        <item x="2"/>
        <item x="0"/>
        <item x="1"/>
        <item t="default"/>
      </items>
    </pivotField>
  </pivotFields>
  <rowItems count="1">
    <i/>
  </rowItems>
  <colFields count="1">
    <field x="-2"/>
  </colFields>
  <colItems count="2">
    <i>
      <x/>
    </i>
    <i i="1">
      <x v="1"/>
    </i>
  </colItems>
  <dataFields count="2">
    <dataField name="Count of PassengerId" fld="0" subtotal="count" baseField="0" baseItem="0"/>
    <dataField name="Sum of PassengerId" fld="0" showDataAs="percentOfTotal" baseField="0" baseItem="0" numFmtId="10"/>
  </dataFields>
  <chartFormats count="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3EBC105-C5AC-4678-87B6-B0CE0C47ED9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U119:V123" firstHeaderRow="1"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showAll="0" sortType="descending">
      <autoSortScope>
        <pivotArea dataOnly="0" outline="0" fieldPosition="0">
          <references count="1">
            <reference field="4294967294" count="1" selected="0">
              <x v="0"/>
            </reference>
          </references>
        </pivotArea>
      </autoSortScope>
    </pivotField>
    <pivotField numFmtId="1" showAll="0"/>
    <pivotField showAll="0"/>
    <pivotField showAll="0"/>
    <pivotField showAll="0"/>
    <pivotField numFmtId="164" showAll="0"/>
    <pivotField showAll="0"/>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s>
  <rowFields count="1">
    <field x="13"/>
  </rowFields>
  <rowItems count="4">
    <i>
      <x v="2"/>
    </i>
    <i>
      <x/>
    </i>
    <i>
      <x v="1"/>
    </i>
    <i t="grand">
      <x/>
    </i>
  </rowItems>
  <colItems count="1">
    <i/>
  </colItems>
  <dataFields count="1">
    <dataField name="Count of PassengerId" fld="0" subtotal="count" baseField="0"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13" count="1" selected="0">
            <x v="2"/>
          </reference>
        </references>
      </pivotArea>
    </chartFormat>
    <chartFormat chart="4" format="11">
      <pivotArea type="data" outline="0" fieldPosition="0">
        <references count="2">
          <reference field="4294967294" count="1" selected="0">
            <x v="0"/>
          </reference>
          <reference field="13" count="1" selected="0">
            <x v="0"/>
          </reference>
        </references>
      </pivotArea>
    </chartFormat>
    <chartFormat chart="4" format="12">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1F2004D-EE26-4ADD-89EF-0E3D6EF26E2C}"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A185:A186" firstHeaderRow="1" firstDataRow="1" firstDataCol="0" rowPageCount="1" colPageCount="1"/>
  <pivotFields count="14">
    <pivotField numFmtId="49" showAll="0" defaultSubtotal="0"/>
    <pivotField axis="axisPage" dataField="1" showAll="0" defaultSubtotal="0">
      <items count="2">
        <item x="0"/>
        <item x="1"/>
      </items>
    </pivotField>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Items count="1">
    <i/>
  </rowItems>
  <colItems count="1">
    <i/>
  </colItems>
  <pageFields count="1">
    <pageField fld="1" item="0" hier="-1"/>
  </pageFields>
  <dataFields count="1">
    <dataField name="Count of Survived Cod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4F81C48-6F60-43BE-822D-2CDAEC98F516}"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11:C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pivotFields>
  <rowItems count="1">
    <i/>
  </rowItems>
  <colItems count="1">
    <i/>
  </colItems>
  <dataFields count="1">
    <dataField name="Average of Fare" fld="11" subtotal="average"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8CDE0361-ECC7-42CB-928C-B482FF763B24}" name="PivotTable2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D181:E184" firstHeaderRow="1" firstDataRow="1" firstDataCol="1"/>
  <pivotFields count="14">
    <pivotField dataField="1" numFmtId="49" showAll="0" defaultSubtotal="0"/>
    <pivotField showAll="0" defaultSubtotal="0"/>
    <pivotField axis="axisRow" showAll="0" defaultSubtotal="0">
      <items count="2">
        <item x="0"/>
        <item x="1"/>
      </items>
    </pivotField>
    <pivotField showAll="0" defaultSubtotal="0"/>
    <pivotField showAll="0" defaultSubtotal="0"/>
    <pivotField showAll="0" defaultSubtotal="0">
      <items count="2">
        <item x="1"/>
        <item x="0"/>
      </items>
    </pivotField>
    <pivotField showAll="0" defaultSubtotal="0"/>
    <pivotField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Fields count="1">
    <field x="2"/>
  </rowFields>
  <rowItems count="3">
    <i>
      <x/>
    </i>
    <i>
      <x v="1"/>
    </i>
    <i t="grand">
      <x/>
    </i>
  </rowItems>
  <colItems count="1">
    <i/>
  </colItems>
  <dataFields count="1">
    <dataField name="Count of Passenger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54E8A1A-AF1C-46A7-88AB-7E06F4406D8C}"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B10:D14" firstHeaderRow="0" firstDataRow="1" firstDataCol="1"/>
  <pivotFields count="14">
    <pivotField dataField="1" numFmtId="49" showAll="0"/>
    <pivotField showAll="0"/>
    <pivotField showAll="0">
      <items count="3">
        <item x="0"/>
        <item x="1"/>
        <item t="default"/>
      </items>
    </pivotField>
    <pivotField axis="axisRow" showAll="0" sortType="ascending">
      <items count="7">
        <item m="1" x="4"/>
        <item m="1" x="3"/>
        <item m="1" x="5"/>
        <item x="0"/>
        <item x="1"/>
        <item x="2"/>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 showAll="0"/>
    <pivotField numFmtId="1" showAll="0"/>
    <pivotField showAll="0"/>
    <pivotField showAll="0"/>
    <pivotField showAll="0"/>
    <pivotField numFmtId="164" showAll="0"/>
    <pivotField showAll="0"/>
    <pivotField showAll="0">
      <items count="4">
        <item x="2"/>
        <item x="0"/>
        <item x="1"/>
        <item t="default"/>
      </items>
    </pivotField>
  </pivotFields>
  <rowFields count="1">
    <field x="3"/>
  </rowFields>
  <rowItems count="4">
    <i>
      <x v="4"/>
    </i>
    <i>
      <x v="5"/>
    </i>
    <i>
      <x v="3"/>
    </i>
    <i t="grand">
      <x/>
    </i>
  </rowItems>
  <colFields count="1">
    <field x="-2"/>
  </colFields>
  <colItems count="2">
    <i>
      <x/>
    </i>
    <i i="1">
      <x v="1"/>
    </i>
  </colItems>
  <dataFields count="2">
    <dataField name="Count of PassengerId" fld="0" subtotal="count" baseField="0" baseItem="0"/>
    <dataField name="Sum of PassengerId" fld="0" showDataAs="percentOfTotal" baseField="0" baseItem="0" numFmtId="10"/>
  </dataFields>
  <formats count="1">
    <format dxfId="1">
      <pivotArea collapsedLevelsAreSubtotals="1" fieldPosition="0">
        <references count="2">
          <reference field="4294967294" count="1" selected="0">
            <x v="1"/>
          </reference>
          <reference field="3" count="0"/>
        </references>
      </pivotArea>
    </format>
  </formats>
  <chartFormats count="8">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CE9093A-6994-49A5-9CC8-EADB9852EB58}" name="MInumum Total"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11:E112" firstHeaderRow="1" firstDataRow="1" firstDataCol="0" rowPageCount="1" colPageCount="1"/>
  <pivotFields count="14">
    <pivotField numFmtId="49" showAll="0" defaultSubtotal="0"/>
    <pivotField showAll="0" defaultSubtotal="0"/>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numFmtId="1" showAll="0" defaultSubtotal="0"/>
    <pivotField showAll="0" defaultSubtotal="0"/>
    <pivotField showAll="0" defaultSubtotal="0"/>
    <pivotField showAll="0" defaultSubtotal="0"/>
    <pivotField axis="axisPage" dataField="1" numFmtId="164" multipleItemSelectionAllowed="1" showAll="0" defaultSubtotal="0">
      <items count="176">
        <item h="1" x="134"/>
        <item x="19"/>
        <item h="1" x="78"/>
        <item h="1" x="123"/>
        <item h="1" x="137"/>
        <item h="1" x="1"/>
        <item h="1" x="115"/>
        <item h="1" x="16"/>
        <item h="1" x="8"/>
        <item h="1" x="82"/>
        <item h="1" x="77"/>
        <item h="1" x="94"/>
        <item h="1" x="144"/>
        <item h="1" x="150"/>
        <item h="1" x="6"/>
        <item h="1" x="49"/>
        <item h="1" x="166"/>
        <item h="1" x="52"/>
        <item h="1" x="96"/>
        <item h="1" x="40"/>
        <item h="1" x="64"/>
        <item h="1" x="75"/>
        <item h="1" x="66"/>
        <item h="1" x="72"/>
        <item h="1" x="0"/>
        <item h="1" x="36"/>
        <item h="1" x="68"/>
        <item h="1" x="54"/>
        <item h="1" x="128"/>
        <item h="1" x="10"/>
        <item h="1" x="17"/>
        <item h="1" x="31"/>
        <item h="1" x="110"/>
        <item h="1" x="70"/>
        <item h="1" x="3"/>
        <item h="1" x="73"/>
        <item h="1" x="100"/>
        <item h="1" x="5"/>
        <item h="1" x="131"/>
        <item h="1" x="141"/>
        <item h="1" x="32"/>
        <item h="1" x="2"/>
        <item h="1" x="109"/>
        <item h="1" x="61"/>
        <item h="1" x="158"/>
        <item h="1" x="92"/>
        <item h="1" x="4"/>
        <item h="1" x="15"/>
        <item h="1" x="133"/>
        <item h="1" x="160"/>
        <item h="1" x="37"/>
        <item h="1" x="34"/>
        <item h="1" x="51"/>
        <item h="1" x="95"/>
        <item h="1" x="119"/>
        <item h="1" x="165"/>
        <item h="1" x="63"/>
        <item h="1" x="143"/>
        <item h="1" x="112"/>
        <item h="1" x="62"/>
        <item h="1" x="156"/>
        <item h="1" x="23"/>
        <item h="1" x="44"/>
        <item h="1" x="74"/>
        <item h="1" x="121"/>
        <item h="1" x="59"/>
        <item h="1" x="111"/>
        <item h="1" x="154"/>
        <item h="1" x="47"/>
        <item h="1" x="149"/>
        <item h="1" x="81"/>
        <item h="1" x="42"/>
        <item h="1" x="105"/>
        <item h="1" x="50"/>
        <item h="1" x="79"/>
        <item h="1" x="132"/>
        <item h="1" x="88"/>
        <item h="1" x="135"/>
        <item h="1" x="163"/>
        <item h="1" x="28"/>
        <item h="1" x="53"/>
        <item h="1" x="161"/>
        <item h="1" x="26"/>
        <item h="1" x="97"/>
        <item h="1" x="169"/>
        <item h="1" x="71"/>
        <item h="1" x="45"/>
        <item h="1" x="83"/>
        <item h="1" x="29"/>
        <item h="1" x="9"/>
        <item h="1" x="85"/>
        <item h="1" x="58"/>
        <item h="1" x="114"/>
        <item h="1" x="11"/>
        <item h="1" x="35"/>
        <item h="1" x="120"/>
        <item h="1" x="14"/>
        <item h="1" x="129"/>
        <item h="1" x="84"/>
        <item h="1" x="56"/>
        <item h="1" x="7"/>
        <item h="1" x="48"/>
        <item h="1" x="39"/>
        <item h="1" x="127"/>
        <item h="1" x="25"/>
        <item h="1" x="93"/>
        <item h="1" x="27"/>
        <item h="1" x="76"/>
        <item h="1" x="20"/>
        <item h="1" x="107"/>
        <item h="1" x="99"/>
        <item h="1" m="1" x="172"/>
        <item h="1" x="102"/>
        <item h="1" x="155"/>
        <item h="1" x="101"/>
        <item h="1" x="162"/>
        <item h="1" x="136"/>
        <item h="1" x="157"/>
        <item h="1" x="139"/>
        <item h="1" x="55"/>
        <item h="1" x="117"/>
        <item h="1" x="140"/>
        <item h="1" x="86"/>
        <item h="1" x="164"/>
        <item h="1" x="159"/>
        <item h="1" x="98"/>
        <item h="1" x="153"/>
        <item h="1" x="89"/>
        <item h="1" x="65"/>
        <item h="1" x="38"/>
        <item h="1" x="103"/>
        <item h="1" x="69"/>
        <item h="1" x="33"/>
        <item h="1" x="30"/>
        <item h="1" x="18"/>
        <item h="1" x="43"/>
        <item h="1" x="13"/>
        <item h="1" x="21"/>
        <item h="1" x="24"/>
        <item h="1" x="152"/>
        <item h="1" x="122"/>
        <item h="1" x="106"/>
        <item h="1" x="124"/>
        <item h="1" x="116"/>
        <item h="1" x="80"/>
        <item h="1" x="125"/>
        <item h="1" x="41"/>
        <item h="1" x="67"/>
        <item h="1" x="148"/>
        <item h="1" x="138"/>
        <item h="1" x="12"/>
        <item h="1" x="90"/>
        <item h="1" x="167"/>
        <item h="1" x="142"/>
        <item h="1" x="126"/>
        <item h="1" x="168"/>
        <item h="1" x="108"/>
        <item h="1" x="145"/>
        <item h="1" x="130"/>
        <item h="1" x="146"/>
        <item h="1" x="87"/>
        <item h="1" x="118"/>
        <item h="1" x="147"/>
        <item h="1" x="57"/>
        <item h="1" x="60"/>
        <item h="1" x="113"/>
        <item h="1" x="104"/>
        <item h="1" x="22"/>
        <item h="1" x="46"/>
        <item h="1" x="151"/>
        <item h="1" m="1" x="173"/>
        <item h="1" m="1" x="175"/>
        <item h="1" m="1" x="170"/>
        <item h="1" m="1" x="174"/>
        <item h="1" m="1" x="171"/>
        <item h="1" x="91"/>
      </items>
    </pivotField>
    <pivotField showAll="0" defaultSubtotal="0"/>
    <pivotField showAll="0" defaultSubtotal="0">
      <items count="3">
        <item x="2"/>
        <item x="0"/>
        <item x="1"/>
      </items>
    </pivotField>
  </pivotFields>
  <rowItems count="1">
    <i/>
  </rowItems>
  <colItems count="1">
    <i/>
  </colItems>
  <pageFields count="1">
    <pageField fld="11" hier="-1"/>
  </pageFields>
  <dataFields count="1">
    <dataField name="Sum of Fare" fld="11"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C198AD8A-916B-4A6C-9636-3BDEF4F30499}"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E173:E174" firstHeaderRow="1" firstDataRow="1" firstDataCol="0"/>
  <pivotFields count="14">
    <pivotField numFmtId="49" showAll="0" defaultSubtotal="0"/>
    <pivotField showAll="0" defaultSubtotal="0"/>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dataField="1"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Items count="1">
    <i/>
  </rowItems>
  <colItems count="1">
    <i/>
  </colItems>
  <dataFields count="1">
    <dataField name="Average of Age" fld="7" subtotal="average" baseField="0" baseItem="0" numFmtId="1"/>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C7D5429C-996C-41EB-8B6C-6CDBDDE37030}" name="PivotTable1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C173:C174" firstHeaderRow="1" firstDataRow="1" firstDataCol="0"/>
  <pivotFields count="14">
    <pivotField numFmtId="49" showAll="0" defaultSubtotal="0"/>
    <pivotField showAll="0" defaultSubtotal="0"/>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dataField="1"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Items count="1">
    <i/>
  </rowItems>
  <colItems count="1">
    <i/>
  </colItems>
  <dataFields count="1">
    <dataField name="Max of Age" fld="7"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E5B49437-2E34-4780-BE60-878DFCF4B9D7}" name="PivotTable1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173:B174" firstHeaderRow="1" firstDataRow="1" firstDataCol="0"/>
  <pivotFields count="14">
    <pivotField numFmtId="49" showAll="0" defaultSubtotal="0"/>
    <pivotField showAll="0" defaultSubtotal="0"/>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dataField="1"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Items count="1">
    <i/>
  </rowItems>
  <colItems count="1">
    <i/>
  </colItems>
  <dataFields count="1">
    <dataField name="Sum of Age" fld="7" baseField="0" baseItem="0" numFmtId="167"/>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20153421-66AB-446B-BEAB-6C7F6BBFC69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119:D123" firstHeaderRow="0"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showAll="0" sortType="descending">
      <autoSortScope>
        <pivotArea dataOnly="0" outline="0" fieldPosition="0">
          <references count="1">
            <reference field="4294967294" count="1" selected="0">
              <x v="0"/>
            </reference>
          </references>
        </pivotArea>
      </autoSortScope>
    </pivotField>
    <pivotField numFmtId="1" showAll="0"/>
    <pivotField showAll="0"/>
    <pivotField showAll="0"/>
    <pivotField showAll="0"/>
    <pivotField numFmtId="164" showAll="0"/>
    <pivotField showAll="0"/>
    <pivotField axis="axisRow" showAll="0" sortType="ascending">
      <items count="4">
        <item x="2"/>
        <item x="0"/>
        <item x="1"/>
        <item t="default"/>
      </items>
      <autoSortScope>
        <pivotArea dataOnly="0" outline="0" fieldPosition="0">
          <references count="1">
            <reference field="4294967294" count="1" selected="0">
              <x v="1"/>
            </reference>
          </references>
        </pivotArea>
      </autoSortScope>
    </pivotField>
  </pivotFields>
  <rowFields count="1">
    <field x="13"/>
  </rowFields>
  <rowItems count="4">
    <i>
      <x v="1"/>
    </i>
    <i>
      <x/>
    </i>
    <i>
      <x v="2"/>
    </i>
    <i t="grand">
      <x/>
    </i>
  </rowItems>
  <colFields count="1">
    <field x="-2"/>
  </colFields>
  <colItems count="2">
    <i>
      <x/>
    </i>
    <i i="1">
      <x v="1"/>
    </i>
  </colItems>
  <dataFields count="2">
    <dataField name="Count of PassengerId" fld="0" subtotal="count" baseField="0" baseItem="0"/>
    <dataField name="Sum of PassengerId" fld="0" showDataAs="percentOfTotal" baseField="0" baseItem="0" numFmtId="9"/>
  </dataFields>
  <formats count="1">
    <format dxfId="5">
      <pivotArea outline="0" collapsedLevelsAreSubtotals="1" fieldPosition="0">
        <references count="1">
          <reference field="4294967294" count="1" selected="0">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8E3350F7-2F3B-4231-A674-D9605553CD41}" name="PivotTable20"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178:B179" firstHeaderRow="1" firstDataRow="1" firstDataCol="0"/>
  <pivotFields count="14">
    <pivotField numFmtId="49" showAll="0" defaultSubtotal="0"/>
    <pivotField dataField="1" showAll="0" defaultSubtotal="0"/>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Items count="1">
    <i/>
  </rowItems>
  <colItems count="1">
    <i/>
  </colItems>
  <dataFields count="1">
    <dataField name="Sum of Survived Cod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4A8B8CDA-1059-42ED-BE98-774D70FC4B5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76:D83" firstHeaderRow="0"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showAll="0" sortType="descending">
      <autoSortScope>
        <pivotArea dataOnly="0" outline="0" fieldPosition="0">
          <references count="1">
            <reference field="4294967294" count="1" selected="0">
              <x v="0"/>
            </reference>
          </references>
        </pivotArea>
      </autoSortScope>
    </pivotField>
    <pivotField numFmtId="1" showAll="0"/>
    <pivotField axis="axisRow" showAll="0" sortType="descending">
      <items count="8">
        <item h="1" x="0"/>
        <item x="1"/>
        <item x="2"/>
        <item x="3"/>
        <item x="4"/>
        <item x="5"/>
        <item x="6"/>
        <item t="default"/>
      </items>
      <autoSortScope>
        <pivotArea dataOnly="0" outline="0" fieldPosition="0">
          <references count="1">
            <reference field="4294967294" count="1" selected="0">
              <x v="0"/>
            </reference>
          </references>
        </pivotArea>
      </autoSortScope>
    </pivotField>
    <pivotField showAll="0"/>
    <pivotField showAll="0"/>
    <pivotField numFmtId="164" showAll="0"/>
    <pivotField showAll="0"/>
    <pivotField showAll="0">
      <items count="4">
        <item x="2"/>
        <item x="0"/>
        <item x="1"/>
        <item t="default"/>
      </items>
    </pivotField>
  </pivotFields>
  <rowFields count="1">
    <field x="8"/>
  </rowFields>
  <rowItems count="7">
    <i>
      <x v="1"/>
    </i>
    <i>
      <x v="2"/>
    </i>
    <i>
      <x v="4"/>
    </i>
    <i>
      <x v="3"/>
    </i>
    <i>
      <x v="6"/>
    </i>
    <i>
      <x v="5"/>
    </i>
    <i t="grand">
      <x/>
    </i>
  </rowItems>
  <colFields count="1">
    <field x="-2"/>
  </colFields>
  <colItems count="2">
    <i>
      <x/>
    </i>
    <i i="1">
      <x v="1"/>
    </i>
  </colItems>
  <dataFields count="2">
    <dataField name="Count of PassengerId" fld="0" subtotal="count" baseField="0" baseItem="0"/>
    <dataField name="Sum of PassengerId" fld="0" showDataAs="percentOfCol" baseField="0" baseItem="0" numFmtId="10"/>
  </dataFields>
  <formats count="1">
    <format dxfId="6">
      <pivotArea collapsedLevelsAreSubtotals="1" fieldPosition="0">
        <references count="2">
          <reference field="4294967294" count="1" selected="0">
            <x v="1"/>
          </reference>
          <reference field="8" count="0"/>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8D9AC354-D0E0-4767-B217-3C8384A9EBA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1:D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pivotFields>
  <rowItems count="1">
    <i/>
  </rowItems>
  <colItems count="1">
    <i/>
  </colItems>
  <dataFields count="1">
    <dataField name="Max of Fare" fld="11" subtotal="max" baseField="0" baseItem="0" numFmtId="165"/>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D28AACBD-5947-47F4-85FB-4B4D8C1859D8}"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11:B112" firstHeaderRow="1" firstDataRow="1" firstDataCol="0"/>
  <pivotFields count="14">
    <pivotField numFmtId="49" showAll="0"/>
    <pivotField showAll="0"/>
    <pivotField showAll="0">
      <items count="3">
        <item x="0"/>
        <item x="1"/>
        <item t="default"/>
      </items>
    </pivotField>
    <pivotField showAll="0"/>
    <pivotField showAll="0"/>
    <pivotField showAll="0">
      <items count="3">
        <item x="1"/>
        <item x="0"/>
        <item t="default"/>
      </items>
    </pivotField>
    <pivotField showAll="0"/>
    <pivotField numFmtId="1" showAll="0"/>
    <pivotField showAll="0"/>
    <pivotField showAll="0"/>
    <pivotField showAll="0"/>
    <pivotField dataField="1" numFmtId="164" showAll="0"/>
    <pivotField showAll="0"/>
    <pivotField showAll="0">
      <items count="4">
        <item x="2"/>
        <item x="0"/>
        <item x="1"/>
        <item t="default"/>
      </items>
    </pivotField>
  </pivotFields>
  <rowItems count="1">
    <i/>
  </rowItems>
  <colItems count="1">
    <i/>
  </colItems>
  <dataFields count="1">
    <dataField name="Sum of Fare" fld="11" baseField="0" baseItem="0" numFmtId="16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FF95AF4F-8904-4A7D-A2FA-3B232EC33926}" name="PivotTable1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D173:D174" firstHeaderRow="1" firstDataRow="1" firstDataCol="0"/>
  <pivotFields count="14">
    <pivotField numFmtId="49" showAll="0" defaultSubtotal="0"/>
    <pivotField showAll="0" defaultSubtotal="0"/>
    <pivotField showAll="0" defaultSubtotal="0">
      <items count="2">
        <item x="0"/>
        <item x="1"/>
      </items>
    </pivotField>
    <pivotField showAll="0" defaultSubtotal="0"/>
    <pivotField showAll="0" defaultSubtotal="0"/>
    <pivotField showAll="0" defaultSubtotal="0">
      <items count="2">
        <item x="1"/>
        <item x="0"/>
      </items>
    </pivotField>
    <pivotField showAll="0" defaultSubtotal="0"/>
    <pivotField dataField="1"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Items count="1">
    <i/>
  </rowItems>
  <colItems count="1">
    <i/>
  </colItems>
  <dataFields count="1">
    <dataField name="Min of Age" fld="7" subtotal="min" baseField="0" baseItem="0" numFmtId="166"/>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95447214-A4CB-455E-9294-C76C79876E0A}"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143:D148" firstHeaderRow="1" firstDataRow="2" firstDataCol="1"/>
  <pivotFields count="14">
    <pivotField dataField="1" numFmtId="49" showAll="0" defaultSubtotal="0"/>
    <pivotField showAll="0" defaultSubtotal="0"/>
    <pivotField showAll="0" defaultSubtotal="0">
      <items count="2">
        <item x="0"/>
        <item x="1"/>
      </items>
    </pivotField>
    <pivotField axis="axisRow" showAll="0" sortType="descending" defaultSubtotal="0">
      <items count="6">
        <item x="0"/>
        <item x="1"/>
        <item x="2"/>
        <item m="1" x="5"/>
        <item m="1" x="3"/>
        <item m="1" x="4"/>
      </items>
    </pivotField>
    <pivotField showAll="0" defaultSubtotal="0"/>
    <pivotField axis="axisCol" showAll="0" sortType="descending" defaultSubtotal="0">
      <items count="2">
        <item x="0"/>
        <item x="1"/>
      </items>
    </pivotField>
    <pivotField showAll="0" defaultSubtotal="0"/>
    <pivotField numFmtId="1" showAll="0" defaultSubtotal="0"/>
    <pivotField showAll="0" defaultSubtotal="0"/>
    <pivotField showAll="0" defaultSubtotal="0"/>
    <pivotField showAll="0" defaultSubtotal="0"/>
    <pivotField numFmtId="164" showAll="0" defaultSubtotal="0"/>
    <pivotField showAll="0" defaultSubtotal="0"/>
    <pivotField showAll="0" defaultSubtotal="0">
      <items count="3">
        <item x="2"/>
        <item x="0"/>
        <item x="1"/>
      </items>
    </pivotField>
  </pivotFields>
  <rowFields count="1">
    <field x="3"/>
  </rowFields>
  <rowItems count="4">
    <i>
      <x/>
    </i>
    <i>
      <x v="1"/>
    </i>
    <i>
      <x v="2"/>
    </i>
    <i t="grand">
      <x/>
    </i>
  </rowItems>
  <colFields count="1">
    <field x="5"/>
  </colFields>
  <colItems count="2">
    <i>
      <x/>
    </i>
    <i>
      <x v="1"/>
    </i>
  </colItems>
  <dataFields count="1">
    <dataField name="Count of PassengerId" fld="0" subtotal="count" baseField="0" baseItem="0"/>
  </dataFields>
  <chartFormats count="20">
    <chartFormat chart="1" format="7" series="1">
      <pivotArea type="data" outline="0" fieldPosition="0">
        <references count="1">
          <reference field="3" count="1" selected="0">
            <x v="2"/>
          </reference>
        </references>
      </pivotArea>
    </chartFormat>
    <chartFormat chart="1" format="8" series="1">
      <pivotArea type="data" outline="0" fieldPosition="0">
        <references count="1">
          <reference field="3" count="1" selected="0">
            <x v="1"/>
          </reference>
        </references>
      </pivotArea>
    </chartFormat>
    <chartFormat chart="1" format="9" series="1">
      <pivotArea type="data" outline="0" fieldPosition="0">
        <references count="1">
          <reference field="3" count="1" selected="0">
            <x v="0"/>
          </reference>
        </references>
      </pivotArea>
    </chartFormat>
    <chartFormat chart="0" format="13" series="1">
      <pivotArea type="data" outline="0" fieldPosition="0">
        <references count="1">
          <reference field="3" count="1" selected="0">
            <x v="2"/>
          </reference>
        </references>
      </pivotArea>
    </chartFormat>
    <chartFormat chart="0" format="14" series="1">
      <pivotArea type="data" outline="0" fieldPosition="0">
        <references count="1">
          <reference field="3" count="1" selected="0">
            <x v="1"/>
          </reference>
        </references>
      </pivotArea>
    </chartFormat>
    <chartFormat chart="0" format="15" series="1">
      <pivotArea type="data" outline="0" fieldPosition="0">
        <references count="1">
          <reference field="3" count="1" selected="0">
            <x v="0"/>
          </reference>
        </references>
      </pivotArea>
    </chartFormat>
    <chartFormat chart="1" format="11" series="1">
      <pivotArea type="data" outline="0" fieldPosition="0">
        <references count="1">
          <reference field="4294967294" count="1" selected="0">
            <x v="0"/>
          </reference>
        </references>
      </pivotArea>
    </chartFormat>
    <chartFormat chart="0" format="17" series="1">
      <pivotArea type="data" outline="0" fieldPosition="0">
        <references count="1">
          <reference field="4294967294" count="1" selected="0">
            <x v="0"/>
          </reference>
        </references>
      </pivotArea>
    </chartFormat>
    <chartFormat chart="1" format="12" series="1">
      <pivotArea type="data" outline="0" fieldPosition="0">
        <references count="2">
          <reference field="4294967294" count="1" selected="0">
            <x v="0"/>
          </reference>
          <reference field="5" count="1" selected="0">
            <x v="1"/>
          </reference>
        </references>
      </pivotArea>
    </chartFormat>
    <chartFormat chart="1" format="13" series="1">
      <pivotArea type="data" outline="0" fieldPosition="0">
        <references count="2">
          <reference field="4294967294" count="1" selected="0">
            <x v="0"/>
          </reference>
          <reference field="5" count="1" selected="0">
            <x v="0"/>
          </reference>
        </references>
      </pivotArea>
    </chartFormat>
    <chartFormat chart="3" format="16" series="1">
      <pivotArea type="data" outline="0" fieldPosition="0">
        <references count="2">
          <reference field="4294967294" count="1" selected="0">
            <x v="0"/>
          </reference>
          <reference field="5" count="1" selected="0">
            <x v="1"/>
          </reference>
        </references>
      </pivotArea>
    </chartFormat>
    <chartFormat chart="3" format="17" series="1">
      <pivotArea type="data" outline="0" fieldPosition="0">
        <references count="2">
          <reference field="4294967294" count="1" selected="0">
            <x v="0"/>
          </reference>
          <reference field="5" count="1" selected="0">
            <x v="0"/>
          </reference>
        </references>
      </pivotArea>
    </chartFormat>
    <chartFormat chart="4" format="0" series="1">
      <pivotArea type="data" outline="0" fieldPosition="0">
        <references count="2">
          <reference field="4294967294" count="1" selected="0">
            <x v="0"/>
          </reference>
          <reference field="5" count="1" selected="0">
            <x v="1"/>
          </reference>
        </references>
      </pivotArea>
    </chartFormat>
    <chartFormat chart="4" format="1" series="1">
      <pivotArea type="data" outline="0" fieldPosition="0">
        <references count="2">
          <reference field="4294967294" count="1" selected="0">
            <x v="0"/>
          </reference>
          <reference field="5" count="1" selected="0">
            <x v="0"/>
          </reference>
        </references>
      </pivotArea>
    </chartFormat>
    <chartFormat chart="5" format="2" series="1">
      <pivotArea type="data" outline="0" fieldPosition="0">
        <references count="2">
          <reference field="4294967294" count="1" selected="0">
            <x v="0"/>
          </reference>
          <reference field="5" count="1" selected="0">
            <x v="1"/>
          </reference>
        </references>
      </pivotArea>
    </chartFormat>
    <chartFormat chart="5" format="3" series="1">
      <pivotArea type="data" outline="0" fieldPosition="0">
        <references count="2">
          <reference field="4294967294" count="1" selected="0">
            <x v="0"/>
          </reference>
          <reference field="5" count="1" selected="0">
            <x v="0"/>
          </reference>
        </references>
      </pivotArea>
    </chartFormat>
    <chartFormat chart="6" format="4" series="1">
      <pivotArea type="data" outline="0" fieldPosition="0">
        <references count="2">
          <reference field="4294967294" count="1" selected="0">
            <x v="0"/>
          </reference>
          <reference field="5" count="1" selected="0">
            <x v="1"/>
          </reference>
        </references>
      </pivotArea>
    </chartFormat>
    <chartFormat chart="6" format="5" series="1">
      <pivotArea type="data" outline="0" fieldPosition="0">
        <references count="2">
          <reference field="4294967294" count="1" selected="0">
            <x v="0"/>
          </reference>
          <reference field="5" count="1" selected="0">
            <x v="0"/>
          </reference>
        </references>
      </pivotArea>
    </chartFormat>
    <chartFormat chart="6" format="6"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B2744E1D-9577-46AD-83EC-7B96A4FB9EA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53:D58" firstHeaderRow="0"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axis="axisRow" showAll="0" sortType="descending">
      <items count="14">
        <item m="1" x="4"/>
        <item m="1" x="7"/>
        <item m="1" x="12"/>
        <item m="1" x="8"/>
        <item m="1" x="10"/>
        <item m="1" x="11"/>
        <item m="1" x="9"/>
        <item x="0"/>
        <item x="1"/>
        <item m="1" x="6"/>
        <item m="1" x="5"/>
        <item x="2"/>
        <item x="3"/>
        <item t="default"/>
      </items>
      <autoSortScope>
        <pivotArea dataOnly="0" outline="0" fieldPosition="0">
          <references count="1">
            <reference field="4294967294" count="1" selected="0">
              <x v="0"/>
            </reference>
          </references>
        </pivotArea>
      </autoSortScope>
    </pivotField>
    <pivotField numFmtId="1" showAll="0"/>
    <pivotField showAll="0"/>
    <pivotField showAll="0"/>
    <pivotField showAll="0"/>
    <pivotField numFmtId="164" showAll="0"/>
    <pivotField showAll="0"/>
    <pivotField showAll="0">
      <items count="4">
        <item x="2"/>
        <item x="0"/>
        <item x="1"/>
        <item t="default"/>
      </items>
    </pivotField>
  </pivotFields>
  <rowFields count="1">
    <field x="6"/>
  </rowFields>
  <rowItems count="5">
    <i>
      <x v="7"/>
    </i>
    <i>
      <x v="8"/>
    </i>
    <i>
      <x v="12"/>
    </i>
    <i>
      <x v="11"/>
    </i>
    <i t="grand">
      <x/>
    </i>
  </rowItems>
  <colFields count="1">
    <field x="-2"/>
  </colFields>
  <colItems count="2">
    <i>
      <x/>
    </i>
    <i i="1">
      <x v="1"/>
    </i>
  </colItems>
  <dataFields count="2">
    <dataField name="Count of PassengerId" fld="0" subtotal="count" baseField="0" baseItem="0"/>
    <dataField name="Sum of PassengerId" fld="0" showDataAs="percentOfCol" baseField="0" baseItem="0" numFmtId="10"/>
  </dataFields>
  <formats count="4">
    <format dxfId="13">
      <pivotArea collapsedLevelsAreSubtotals="1" fieldPosition="0">
        <references count="1">
          <reference field="6" count="1">
            <x v="4"/>
          </reference>
        </references>
      </pivotArea>
    </format>
    <format dxfId="12">
      <pivotArea collapsedLevelsAreSubtotals="1" fieldPosition="0">
        <references count="1">
          <reference field="6" count="1">
            <x v="3"/>
          </reference>
        </references>
      </pivotArea>
    </format>
    <format dxfId="11">
      <pivotArea outline="0" fieldPosition="0">
        <references count="1">
          <reference field="4294967294" count="1">
            <x v="1"/>
          </reference>
        </references>
      </pivotArea>
    </format>
    <format dxfId="10">
      <pivotArea collapsedLevelsAreSubtotals="1" fieldPosition="0">
        <references count="2">
          <reference field="4294967294" count="1" selected="0">
            <x v="1"/>
          </reference>
          <reference field="6" count="0"/>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41DDEF0E-5580-414A-A7AB-DF91BC586CD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4:C106" firstHeaderRow="1" firstDataRow="1" firstDataCol="1"/>
  <pivotFields count="14">
    <pivotField dataField="1" numFmtId="49" showAll="0"/>
    <pivotField showAll="0"/>
    <pivotField showAll="0">
      <items count="3">
        <item x="0"/>
        <item x="1"/>
        <item t="default"/>
      </items>
    </pivotField>
    <pivotField showAll="0"/>
    <pivotField showAll="0"/>
    <pivotField showAll="0">
      <items count="3">
        <item x="1"/>
        <item x="0"/>
        <item t="default"/>
      </items>
    </pivotField>
    <pivotField showAll="0" sortType="descending">
      <autoSortScope>
        <pivotArea dataOnly="0" outline="0" fieldPosition="0">
          <references count="1">
            <reference field="4294967294" count="1" selected="0">
              <x v="0"/>
            </reference>
          </references>
        </pivotArea>
      </autoSortScope>
    </pivotField>
    <pivotField numFmtId="1" showAll="0"/>
    <pivotField showAll="0"/>
    <pivotField axis="axisRow" showAll="0">
      <items count="9">
        <item h="1" x="0"/>
        <item x="1"/>
        <item h="1" x="3"/>
        <item h="1" x="2"/>
        <item h="1" x="4"/>
        <item h="1" x="6"/>
        <item h="1" x="5"/>
        <item h="1" x="7"/>
        <item t="default"/>
      </items>
    </pivotField>
    <pivotField showAll="0"/>
    <pivotField numFmtId="164" showAll="0"/>
    <pivotField showAll="0"/>
    <pivotField showAll="0"/>
  </pivotFields>
  <rowFields count="1">
    <field x="9"/>
  </rowFields>
  <rowItems count="2">
    <i>
      <x v="1"/>
    </i>
    <i t="grand">
      <x/>
    </i>
  </rowItems>
  <colItems count="1">
    <i/>
  </colItems>
  <dataFields count="1">
    <dataField name="Count of Passenger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519798A7-BC2B-49DA-98E2-66DD9896CA2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33:D36" firstHeaderRow="0" firstDataRow="1" firstDataCol="1"/>
  <pivotFields count="14">
    <pivotField dataField="1" numFmtId="49" showAll="0"/>
    <pivotField showAll="0"/>
    <pivotField showAll="0">
      <items count="3">
        <item x="0"/>
        <item x="1"/>
        <item t="default"/>
      </items>
    </pivotField>
    <pivotField showAll="0"/>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pivotField showAll="0"/>
    <pivotField numFmtId="164" showAll="0"/>
    <pivotField showAll="0"/>
    <pivotField showAll="0">
      <items count="4">
        <item x="2"/>
        <item x="0"/>
        <item x="1"/>
        <item t="default"/>
      </items>
    </pivotField>
  </pivotFields>
  <rowFields count="1">
    <field x="5"/>
  </rowFields>
  <rowItems count="3">
    <i>
      <x v="1"/>
    </i>
    <i>
      <x/>
    </i>
    <i t="grand">
      <x/>
    </i>
  </rowItems>
  <colFields count="1">
    <field x="-2"/>
  </colFields>
  <colItems count="2">
    <i>
      <x/>
    </i>
    <i i="1">
      <x v="1"/>
    </i>
  </colItems>
  <dataFields count="2">
    <dataField name="Count Of Passengers" fld="0" subtotal="count" baseField="5" baseItem="1"/>
    <dataField name="Sum of PassengerId" fld="0" showDataAs="percentOfTotal" baseField="0" baseItem="0" numFmtId="10"/>
  </dataFields>
  <formats count="1">
    <format dxfId="14">
      <pivotArea collapsedLevelsAreSubtotals="1" fieldPosition="0">
        <references count="2">
          <reference field="4294967294" count="1" selected="0">
            <x v="1"/>
          </reference>
          <reference field="5" count="0"/>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1"/>
          </reference>
          <reference field="5" count="1" selected="0">
            <x v="1"/>
          </reference>
        </references>
      </pivotArea>
    </chartFormat>
    <chartFormat chart="0" format="5">
      <pivotArea type="data" outline="0" fieldPosition="0">
        <references count="2">
          <reference field="4294967294" count="1" selected="0">
            <x v="1"/>
          </reference>
          <reference field="5" count="1" selected="0">
            <x v="0"/>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5" count="1" selected="0">
            <x v="1"/>
          </reference>
        </references>
      </pivotArea>
    </chartFormat>
    <chartFormat chart="2" format="14">
      <pivotArea type="data" outline="0" fieldPosition="0">
        <references count="2">
          <reference field="4294967294" count="1" selected="0">
            <x v="0"/>
          </reference>
          <reference field="5" count="1" selected="0">
            <x v="0"/>
          </reference>
        </references>
      </pivotArea>
    </chartFormat>
    <chartFormat chart="2" format="15" series="1">
      <pivotArea type="data" outline="0" fieldPosition="0">
        <references count="1">
          <reference field="4294967294" count="1" selected="0">
            <x v="1"/>
          </reference>
        </references>
      </pivotArea>
    </chartFormat>
    <chartFormat chart="2" format="16">
      <pivotArea type="data" outline="0" fieldPosition="0">
        <references count="2">
          <reference field="4294967294" count="1" selected="0">
            <x v="1"/>
          </reference>
          <reference field="5" count="1" selected="0">
            <x v="1"/>
          </reference>
        </references>
      </pivotArea>
    </chartFormat>
    <chartFormat chart="2" format="17">
      <pivotArea type="data" outline="0" fieldPosition="0">
        <references count="2">
          <reference field="4294967294" count="1" selected="0">
            <x v="1"/>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4E26211B-6784-4813-A439-567C77113834}" sourceName="Sex">
  <pivotTables>
    <pivotTable tabId="7" name="PivotTable4"/>
    <pivotTable tabId="7" name="MInumum Total"/>
    <pivotTable tabId="7" name="PivotTable1"/>
    <pivotTable tabId="7" name="PivotTable10"/>
    <pivotTable tabId="7" name="PivotTable11"/>
    <pivotTable tabId="7" name="PivotTable12"/>
    <pivotTable tabId="7" name="PivotTable13"/>
    <pivotTable tabId="7" name="PivotTable14"/>
    <pivotTable tabId="7" name="PivotTable15"/>
    <pivotTable tabId="7" name="PivotTable2"/>
    <pivotTable tabId="7" name="PivotTable20"/>
    <pivotTable tabId="7" name="PivotTable22"/>
    <pivotTable tabId="7" name="PivotTable3"/>
    <pivotTable tabId="7" name="PivotTable5"/>
    <pivotTable tabId="7" name="PivotTable6"/>
    <pivotTable tabId="7" name="PivotTable7"/>
    <pivotTable tabId="7" name="PivotTable8"/>
    <pivotTable tabId="5" name="PivotTable1"/>
    <pivotTable tabId="5" name="PivotTable11"/>
    <pivotTable tabId="5" name="PivotTable12"/>
    <pivotTable tabId="5" name="PivotTable13"/>
    <pivotTable tabId="5" name="PivotTable14"/>
    <pivotTable tabId="5" name="PivotTable15"/>
    <pivotTable tabId="5" name="PivotTable16"/>
    <pivotTable tabId="5" name="PivotTable18"/>
    <pivotTable tabId="5" name="PivotTable19"/>
    <pivotTable tabId="5" name="PivotTable2"/>
    <pivotTable tabId="5" name="PivotTable20"/>
    <pivotTable tabId="5" name="PivotTable21"/>
    <pivotTable tabId="5" name="PivotTable22"/>
    <pivotTable tabId="5" name="PivotTable3"/>
    <pivotTable tabId="5" name="PivotTable4"/>
    <pivotTable tabId="5" name="PivotTable5"/>
    <pivotTable tabId="5" name="PivotTable6"/>
    <pivotTable tabId="5" name="PivotTable7"/>
    <pivotTable tabId="5" name="PivotTable8"/>
    <pivotTable tabId="5" name="PivotTable23"/>
    <pivotTable tabId="7" name="PivotTable24"/>
  </pivotTables>
  <data>
    <tabular pivotCacheId="1329497586" sortOrder="descending">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barked" xr10:uid="{9EDAED6F-1106-4181-96B9-203B1D01AAD5}" sourceName="Embarked">
  <pivotTables>
    <pivotTable tabId="7" name="PivotTable4"/>
    <pivotTable tabId="7" name="MInumum Total"/>
    <pivotTable tabId="7" name="PivotTable1"/>
    <pivotTable tabId="7" name="PivotTable10"/>
    <pivotTable tabId="7" name="PivotTable11"/>
    <pivotTable tabId="7" name="PivotTable12"/>
    <pivotTable tabId="7" name="PivotTable13"/>
    <pivotTable tabId="7" name="PivotTable14"/>
    <pivotTable tabId="7" name="PivotTable15"/>
    <pivotTable tabId="7" name="PivotTable2"/>
    <pivotTable tabId="7" name="PivotTable20"/>
    <pivotTable tabId="7" name="PivotTable22"/>
    <pivotTable tabId="7" name="PivotTable24"/>
    <pivotTable tabId="7" name="PivotTable8"/>
    <pivotTable tabId="5" name="PivotTable1"/>
    <pivotTable tabId="5" name="PivotTable11"/>
    <pivotTable tabId="5" name="PivotTable12"/>
    <pivotTable tabId="5" name="PivotTable13"/>
    <pivotTable tabId="5" name="PivotTable14"/>
    <pivotTable tabId="5" name="PivotTable15"/>
    <pivotTable tabId="5" name="PivotTable16"/>
    <pivotTable tabId="5" name="PivotTable18"/>
    <pivotTable tabId="5" name="PivotTable19"/>
    <pivotTable tabId="5" name="PivotTable2"/>
    <pivotTable tabId="5" name="PivotTable20"/>
    <pivotTable tabId="5" name="PivotTable21"/>
    <pivotTable tabId="5" name="PivotTable22"/>
    <pivotTable tabId="5" name="PivotTable23"/>
    <pivotTable tabId="5" name="PivotTable3"/>
    <pivotTable tabId="5" name="PivotTable4"/>
    <pivotTable tabId="5" name="PivotTable5"/>
    <pivotTable tabId="5" name="PivotTable6"/>
    <pivotTable tabId="5" name="PivotTable7"/>
    <pivotTable tabId="5" name="PivotTable8"/>
  </pivotTables>
  <data>
    <tabular pivotCacheId="1329497586">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rvival_Status" xr10:uid="{E26F9565-9BBB-4ED7-8151-944979E939B6}" sourceName="Survival Status">
  <pivotTables>
    <pivotTable tabId="7" name="PivotTable22"/>
    <pivotTable tabId="7" name="MInumum Total"/>
    <pivotTable tabId="7" name="PivotTable1"/>
    <pivotTable tabId="7" name="PivotTable10"/>
    <pivotTable tabId="7" name="PivotTable11"/>
    <pivotTable tabId="7" name="PivotTable12"/>
    <pivotTable tabId="7" name="PivotTable13"/>
    <pivotTable tabId="7" name="PivotTable14"/>
    <pivotTable tabId="7" name="PivotTable15"/>
    <pivotTable tabId="7" name="PivotTable2"/>
    <pivotTable tabId="7" name="PivotTable20"/>
    <pivotTable tabId="7" name="PivotTable24"/>
    <pivotTable tabId="7" name="PivotTable3"/>
    <pivotTable tabId="7" name="PivotTable4"/>
    <pivotTable tabId="7" name="PivotTable5"/>
    <pivotTable tabId="7" name="PivotTable6"/>
    <pivotTable tabId="7" name="PivotTable7"/>
    <pivotTable tabId="7" name="PivotTable8"/>
    <pivotTable tabId="5" name="PivotTable1"/>
    <pivotTable tabId="5" name="PivotTable11"/>
    <pivotTable tabId="5" name="PivotTable12"/>
    <pivotTable tabId="5" name="PivotTable13"/>
    <pivotTable tabId="5" name="PivotTable14"/>
    <pivotTable tabId="5" name="PivotTable15"/>
    <pivotTable tabId="5" name="PivotTable16"/>
    <pivotTable tabId="5" name="PivotTable18"/>
    <pivotTable tabId="5" name="PivotTable19"/>
    <pivotTable tabId="5" name="PivotTable2"/>
    <pivotTable tabId="5" name="PivotTable20"/>
    <pivotTable tabId="5" name="PivotTable21"/>
    <pivotTable tabId="5" name="PivotTable22"/>
    <pivotTable tabId="5" name="PivotTable23"/>
    <pivotTable tabId="5" name="PivotTable3"/>
    <pivotTable tabId="5" name="PivotTable4"/>
    <pivotTable tabId="5" name="PivotTable5"/>
    <pivotTable tabId="5" name="PivotTable6"/>
    <pivotTable tabId="5" name="PivotTable7"/>
    <pivotTable tabId="5" name="PivotTable8"/>
  </pivotTables>
  <data>
    <tabular pivotCacheId="1329497586">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A6C4F642-3121-44CB-BB8C-A0D9A27F2291}" cache="Slicer_Sex" caption="Gender" columnCount="2" showCaption="0" style="SlicerStyleLight1 2" rowHeight="257175"/>
  <slicer name="Embarked" xr10:uid="{29A77F60-AFC0-443D-898B-F5B022C2D42D}" cache="Slicer_Embarked" caption="Embarked" showCaption="0" style="SlicerStyleLight1 2" rowHeight="216000"/>
  <slicer name="Survival Status" xr10:uid="{1D577533-DC5E-4D16-81D9-EADB7063C08F}" cache="Slicer_Survival_Status" caption="Survival Status" showCaption="0" style="SlicerStyleLight1 2"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5BB3EA5-3E5B-4136-A5A3-F1CE7998B80C}" name="tbl_figures" displayName="tbl_figures" ref="A1:N419" totalsRowShown="0" tableBorderDxfId="33">
  <autoFilter ref="A1:N419" xr:uid="{65BB3EA5-3E5B-4136-A5A3-F1CE7998B80C}"/>
  <tableColumns count="14">
    <tableColumn id="1" xr3:uid="{3C590E0D-0DE8-4183-8171-7CFAAC0EF3FD}" name="PassengerId" dataDxfId="32">
      <calculatedColumnFormula>Titanic_raw!A2</calculatedColumnFormula>
    </tableColumn>
    <tableColumn id="2" xr3:uid="{48A68744-3774-41CC-93C7-83C4F8900F0E}" name="Survived Code" dataDxfId="31">
      <calculatedColumnFormula>Titanic_raw!B2</calculatedColumnFormula>
    </tableColumn>
    <tableColumn id="15" xr3:uid="{57DE4FC5-8C4B-4243-B311-1D63472AA46C}" name="Survival Status" dataDxfId="30">
      <calculatedColumnFormula>IF(B2=0,"Dead","Survived")</calculatedColumnFormula>
    </tableColumn>
    <tableColumn id="3" xr3:uid="{449355CE-E546-47A9-AEA0-C5A1E9370310}" name="Pclass" dataDxfId="29">
      <calculatedColumnFormula>CONCATENATE(Titanic_raw!C2, " Class")</calculatedColumnFormula>
    </tableColumn>
    <tableColumn id="4" xr3:uid="{B9316E5E-D85B-49E5-937F-22F11FE2DCF1}" name="Full Name" dataDxfId="28">
      <calculatedColumnFormula>INDEX(tbl_passenger[Full Name],MATCH(A2,tbl_passenger[PassengerId],0))</calculatedColumnFormula>
    </tableColumn>
    <tableColumn id="5" xr3:uid="{1B4F2A92-25B1-4557-BB77-E239995770EE}" name="Sex" dataDxfId="27">
      <calculatedColumnFormula>INDEX(tbl_passenger[Sex],MATCH(A2,tbl_passenger[PassengerId],0))</calculatedColumnFormula>
    </tableColumn>
    <tableColumn id="13" xr3:uid="{CBDE0FC9-9273-43A0-9FD2-1B1BA838801E}" name="Age Range" dataDxfId="26">
      <calculatedColumnFormula>IF(tbl_figures[Age]&lt;20, "Teens (0-19)", IF(tbl_figures[Age] &lt;40, "Youth (20-39)", IF(tbl_figures[Age]&lt;60, "Adult (40-59)", IF(tbl_figures[Age]&gt;=60, "Elders (60-Above)"))))</calculatedColumnFormula>
    </tableColumn>
    <tableColumn id="6" xr3:uid="{E0E6372D-A57F-4C50-AFEB-FD450D94A6B9}" name="Age" dataDxfId="25">
      <calculatedColumnFormula>IF(ISBLANK(Titanic_raw!F2),$C$423,Titanic_raw!F2)</calculatedColumnFormula>
    </tableColumn>
    <tableColumn id="7" xr3:uid="{F1C8E85A-D29A-44D5-A12F-98EB7191291D}" name="SibSp">
      <calculatedColumnFormula>Titanic_raw!G2</calculatedColumnFormula>
    </tableColumn>
    <tableColumn id="8" xr3:uid="{77F594DC-01D3-45F4-BBF1-9B6EE76F95E5}" name="Parch">
      <calculatedColumnFormula>Titanic_raw!H2</calculatedColumnFormula>
    </tableColumn>
    <tableColumn id="9" xr3:uid="{5CA02EB3-3BFA-4F13-8603-96D9310091A6}" name="Ticket"/>
    <tableColumn id="10" xr3:uid="{6BAC72C9-5947-4488-9549-7CD7065F5ABC}" name="Fare">
      <calculatedColumnFormula>IF(ISBLANK(Titanic_raw!J2),$C$427,Titanic_raw!J2)</calculatedColumnFormula>
    </tableColumn>
    <tableColumn id="11" xr3:uid="{C0AFB0B9-F1FE-45C7-BD8F-D322B7218354}" name="Cabin"/>
    <tableColumn id="12" xr3:uid="{A6EABC6E-116C-447C-AA5E-4CCCDCF05464}" name="Embarked"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005CC98-67CB-413F-B8C9-AEA98E6C49AD}" name="tbl_passenger" displayName="tbl_passenger" ref="A1:G419" totalsRowShown="0" headerRowDxfId="23" dataDxfId="22" tableBorderDxfId="21">
  <autoFilter ref="A1:G419" xr:uid="{6005CC98-67CB-413F-B8C9-AEA98E6C49AD}"/>
  <tableColumns count="7">
    <tableColumn id="1" xr3:uid="{4A73C70E-5F13-4810-AB11-B147821F10CF}" name="PassengerId">
      <calculatedColumnFormula>Titanic_raw!A2</calculatedColumnFormula>
    </tableColumn>
    <tableColumn id="2" xr3:uid="{5BC6AA6A-4B34-490B-AD11-AE47420883E8}" name="Name " dataDxfId="20">
      <calculatedColumnFormula>Titanic_raw!D2</calculatedColumnFormula>
    </tableColumn>
    <tableColumn id="3" xr3:uid="{69AB232F-AA5E-4A70-AB47-DDC2AD1608D4}" name="Title" dataDxfId="19"/>
    <tableColumn id="4" xr3:uid="{58AF4CF6-464D-4FFF-8D54-10F2EA2DEF1F}" name="First Name" dataDxfId="18">
      <calculatedColumnFormula>RIGHT(B2,LEN(B2)-FIND(".",B2)-1)</calculatedColumnFormula>
    </tableColumn>
    <tableColumn id="5" xr3:uid="{5EAED40F-6717-4498-B2A7-E108379D2E00}" name="Last Name" dataDxfId="17">
      <calculatedColumnFormula>LEFT(B2,FIND(",",B2)-1)</calculatedColumnFormula>
    </tableColumn>
    <tableColumn id="6" xr3:uid="{38AE848A-7AC5-45AF-BD48-2CDC92543A66}" name="Full Name" dataDxfId="16">
      <calculatedColumnFormula>CONCATENATE(C2," ",D2," ",E2)</calculatedColumnFormula>
    </tableColumn>
    <tableColumn id="7" xr3:uid="{6C5C77B3-8A47-4934-8CAC-9E3C5610E5E8}" name="Sex" dataDxfId="15">
      <calculatedColumnFormula>PROPER(Titanic_raw!E2)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rinterSettings" Target="../printerSettings/printerSettings1.bin"/><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table" Target="../tables/table1.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8.xml"/><Relationship Id="rId13" Type="http://schemas.openxmlformats.org/officeDocument/2006/relationships/pivotTable" Target="../pivotTables/pivotTable33.xml"/><Relationship Id="rId18" Type="http://schemas.openxmlformats.org/officeDocument/2006/relationships/pivotTable" Target="../pivotTables/pivotTable38.xml"/><Relationship Id="rId3" Type="http://schemas.openxmlformats.org/officeDocument/2006/relationships/pivotTable" Target="../pivotTables/pivotTable23.xml"/><Relationship Id="rId7" Type="http://schemas.openxmlformats.org/officeDocument/2006/relationships/pivotTable" Target="../pivotTables/pivotTable27.xml"/><Relationship Id="rId12" Type="http://schemas.openxmlformats.org/officeDocument/2006/relationships/pivotTable" Target="../pivotTables/pivotTable32.xml"/><Relationship Id="rId17" Type="http://schemas.openxmlformats.org/officeDocument/2006/relationships/pivotTable" Target="../pivotTables/pivotTable37.xml"/><Relationship Id="rId2" Type="http://schemas.openxmlformats.org/officeDocument/2006/relationships/pivotTable" Target="../pivotTables/pivotTable22.xml"/><Relationship Id="rId16" Type="http://schemas.openxmlformats.org/officeDocument/2006/relationships/pivotTable" Target="../pivotTables/pivotTable36.xml"/><Relationship Id="rId20" Type="http://schemas.openxmlformats.org/officeDocument/2006/relationships/drawing" Target="../drawings/drawing2.xml"/><Relationship Id="rId1" Type="http://schemas.openxmlformats.org/officeDocument/2006/relationships/pivotTable" Target="../pivotTables/pivotTable21.xml"/><Relationship Id="rId6" Type="http://schemas.openxmlformats.org/officeDocument/2006/relationships/pivotTable" Target="../pivotTables/pivotTable26.xml"/><Relationship Id="rId11" Type="http://schemas.openxmlformats.org/officeDocument/2006/relationships/pivotTable" Target="../pivotTables/pivotTable31.xml"/><Relationship Id="rId5" Type="http://schemas.openxmlformats.org/officeDocument/2006/relationships/pivotTable" Target="../pivotTables/pivotTable25.xml"/><Relationship Id="rId15" Type="http://schemas.openxmlformats.org/officeDocument/2006/relationships/pivotTable" Target="../pivotTables/pivotTable35.xml"/><Relationship Id="rId10" Type="http://schemas.openxmlformats.org/officeDocument/2006/relationships/pivotTable" Target="../pivotTables/pivotTable30.xml"/><Relationship Id="rId19" Type="http://schemas.openxmlformats.org/officeDocument/2006/relationships/printerSettings" Target="../printerSettings/printerSettings3.bin"/><Relationship Id="rId4" Type="http://schemas.openxmlformats.org/officeDocument/2006/relationships/pivotTable" Target="../pivotTables/pivotTable24.xml"/><Relationship Id="rId9" Type="http://schemas.openxmlformats.org/officeDocument/2006/relationships/pivotTable" Target="../pivotTables/pivotTable29.xml"/><Relationship Id="rId14" Type="http://schemas.openxmlformats.org/officeDocument/2006/relationships/pivotTable" Target="../pivotTables/pivotTable34.xml"/></Relationships>
</file>

<file path=xl/worksheets/_rels/sheet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424"/>
  <sheetViews>
    <sheetView topLeftCell="A335" workbookViewId="0">
      <selection activeCell="F356" sqref="F356"/>
    </sheetView>
  </sheetViews>
  <sheetFormatPr defaultRowHeight="15" x14ac:dyDescent="0.25"/>
  <cols>
    <col min="1" max="1" width="10" style="1" bestFit="1" customWidth="1"/>
    <col min="2" max="2" width="7.33203125" style="1" bestFit="1" customWidth="1"/>
    <col min="3" max="3" width="5.44140625" style="1" bestFit="1" customWidth="1"/>
    <col min="4" max="4" width="46.88671875" style="1" bestFit="1" customWidth="1"/>
    <col min="5" max="5" width="5.21875" style="1" bestFit="1" customWidth="1"/>
    <col min="6" max="6" width="3.88671875" style="1" bestFit="1" customWidth="1"/>
    <col min="7" max="8" width="5" style="1" bestFit="1" customWidth="1"/>
    <col min="9" max="9" width="16.109375" style="1" bestFit="1" customWidth="1"/>
    <col min="10" max="10" width="7" style="1" bestFit="1" customWidth="1"/>
    <col min="11" max="11" width="12.88671875" style="1" bestFit="1" customWidth="1"/>
    <col min="12" max="12" width="8.44140625" style="1" bestFit="1" customWidth="1"/>
  </cols>
  <sheetData>
    <row r="1" spans="1:12" s="3" customFormat="1" ht="16.5" x14ac:dyDescent="0.25">
      <c r="A1" s="2" t="s">
        <v>0</v>
      </c>
      <c r="B1" s="2" t="s">
        <v>1</v>
      </c>
      <c r="C1" s="2" t="s">
        <v>2</v>
      </c>
      <c r="D1" s="2" t="s">
        <v>608</v>
      </c>
      <c r="E1" s="2" t="s">
        <v>607</v>
      </c>
      <c r="F1" s="2" t="s">
        <v>3</v>
      </c>
      <c r="G1" s="2" t="s">
        <v>4</v>
      </c>
      <c r="H1" s="2" t="s">
        <v>5</v>
      </c>
      <c r="I1" s="2" t="s">
        <v>6</v>
      </c>
      <c r="J1" s="2" t="s">
        <v>7</v>
      </c>
      <c r="K1" s="2" t="s">
        <v>8</v>
      </c>
      <c r="L1" s="2" t="s">
        <v>9</v>
      </c>
    </row>
    <row r="2" spans="1:12" x14ac:dyDescent="0.25">
      <c r="A2" s="1">
        <v>892</v>
      </c>
      <c r="B2" s="1">
        <v>0</v>
      </c>
      <c r="C2" s="1">
        <v>3</v>
      </c>
      <c r="D2" s="1" t="s">
        <v>10</v>
      </c>
      <c r="E2" s="1" t="s">
        <v>11</v>
      </c>
      <c r="F2" s="1">
        <v>34.5</v>
      </c>
      <c r="G2" s="1">
        <v>0</v>
      </c>
      <c r="H2" s="1">
        <v>0</v>
      </c>
      <c r="I2" s="1">
        <v>330911</v>
      </c>
      <c r="J2" s="1">
        <v>7.8292000000000002</v>
      </c>
      <c r="L2" s="1" t="s">
        <v>12</v>
      </c>
    </row>
    <row r="3" spans="1:12" x14ac:dyDescent="0.25">
      <c r="A3" s="1">
        <v>893</v>
      </c>
      <c r="B3" s="1">
        <v>1</v>
      </c>
      <c r="C3" s="1">
        <v>3</v>
      </c>
      <c r="D3" s="1" t="s">
        <v>13</v>
      </c>
      <c r="E3" s="1" t="s">
        <v>14</v>
      </c>
      <c r="F3" s="1">
        <v>47</v>
      </c>
      <c r="G3" s="1">
        <v>1</v>
      </c>
      <c r="H3" s="1">
        <v>0</v>
      </c>
      <c r="I3" s="1">
        <v>363272</v>
      </c>
      <c r="J3" s="1">
        <v>7</v>
      </c>
      <c r="L3" s="1" t="s">
        <v>15</v>
      </c>
    </row>
    <row r="4" spans="1:12" x14ac:dyDescent="0.25">
      <c r="A4" s="1">
        <v>894</v>
      </c>
      <c r="B4" s="1">
        <v>0</v>
      </c>
      <c r="C4" s="1">
        <v>2</v>
      </c>
      <c r="D4" s="1" t="s">
        <v>16</v>
      </c>
      <c r="E4" s="1" t="s">
        <v>11</v>
      </c>
      <c r="F4" s="1">
        <v>62</v>
      </c>
      <c r="G4" s="1">
        <v>0</v>
      </c>
      <c r="H4" s="1">
        <v>0</v>
      </c>
      <c r="I4" s="1">
        <v>240276</v>
      </c>
      <c r="J4" s="1">
        <v>9.6875</v>
      </c>
      <c r="L4" s="1" t="s">
        <v>12</v>
      </c>
    </row>
    <row r="5" spans="1:12" x14ac:dyDescent="0.25">
      <c r="A5" s="1">
        <v>895</v>
      </c>
      <c r="B5" s="1">
        <v>0</v>
      </c>
      <c r="C5" s="1">
        <v>3</v>
      </c>
      <c r="D5" s="1" t="s">
        <v>17</v>
      </c>
      <c r="E5" s="1" t="s">
        <v>11</v>
      </c>
      <c r="F5" s="1">
        <v>27</v>
      </c>
      <c r="G5" s="1">
        <v>0</v>
      </c>
      <c r="H5" s="1">
        <v>0</v>
      </c>
      <c r="I5" s="1">
        <v>315154</v>
      </c>
      <c r="J5" s="1">
        <v>8.6624999999999996</v>
      </c>
      <c r="L5" s="1" t="s">
        <v>15</v>
      </c>
    </row>
    <row r="6" spans="1:12" x14ac:dyDescent="0.25">
      <c r="A6" s="1">
        <v>896</v>
      </c>
      <c r="B6" s="1">
        <v>1</v>
      </c>
      <c r="C6" s="1">
        <v>3</v>
      </c>
      <c r="D6" s="1" t="s">
        <v>18</v>
      </c>
      <c r="E6" s="1" t="s">
        <v>14</v>
      </c>
      <c r="F6" s="1">
        <v>22</v>
      </c>
      <c r="G6" s="1">
        <v>1</v>
      </c>
      <c r="H6" s="1">
        <v>1</v>
      </c>
      <c r="I6" s="1">
        <v>3101298</v>
      </c>
      <c r="J6" s="1">
        <v>12.2875</v>
      </c>
      <c r="L6" s="1" t="s">
        <v>15</v>
      </c>
    </row>
    <row r="7" spans="1:12" x14ac:dyDescent="0.25">
      <c r="A7" s="1">
        <v>897</v>
      </c>
      <c r="B7" s="1">
        <v>0</v>
      </c>
      <c r="C7" s="1">
        <v>3</v>
      </c>
      <c r="D7" s="1" t="s">
        <v>19</v>
      </c>
      <c r="E7" s="1" t="s">
        <v>11</v>
      </c>
      <c r="F7" s="1">
        <v>14</v>
      </c>
      <c r="G7" s="1">
        <v>0</v>
      </c>
      <c r="H7" s="1">
        <v>0</v>
      </c>
      <c r="I7" s="1">
        <v>7538</v>
      </c>
      <c r="J7" s="1">
        <v>9.2249999999999996</v>
      </c>
      <c r="L7" s="1" t="s">
        <v>15</v>
      </c>
    </row>
    <row r="8" spans="1:12" x14ac:dyDescent="0.25">
      <c r="A8" s="1">
        <v>898</v>
      </c>
      <c r="B8" s="1">
        <v>1</v>
      </c>
      <c r="C8" s="1">
        <v>3</v>
      </c>
      <c r="D8" s="1" t="s">
        <v>20</v>
      </c>
      <c r="E8" s="1" t="s">
        <v>14</v>
      </c>
      <c r="F8" s="1">
        <v>30</v>
      </c>
      <c r="G8" s="1">
        <v>0</v>
      </c>
      <c r="H8" s="1">
        <v>0</v>
      </c>
      <c r="I8" s="1">
        <v>330972</v>
      </c>
      <c r="J8" s="1">
        <v>7.6292</v>
      </c>
      <c r="L8" s="1" t="s">
        <v>12</v>
      </c>
    </row>
    <row r="9" spans="1:12" x14ac:dyDescent="0.25">
      <c r="A9" s="1">
        <v>899</v>
      </c>
      <c r="B9" s="1">
        <v>0</v>
      </c>
      <c r="C9" s="1">
        <v>2</v>
      </c>
      <c r="D9" s="1" t="s">
        <v>21</v>
      </c>
      <c r="E9" s="1" t="s">
        <v>11</v>
      </c>
      <c r="F9" s="1">
        <v>26</v>
      </c>
      <c r="G9" s="1">
        <v>1</v>
      </c>
      <c r="H9" s="1">
        <v>1</v>
      </c>
      <c r="I9" s="1">
        <v>248738</v>
      </c>
      <c r="J9" s="1">
        <v>29</v>
      </c>
      <c r="L9" s="1" t="s">
        <v>15</v>
      </c>
    </row>
    <row r="10" spans="1:12" x14ac:dyDescent="0.25">
      <c r="A10" s="1">
        <v>900</v>
      </c>
      <c r="B10" s="1">
        <v>1</v>
      </c>
      <c r="C10" s="1">
        <v>3</v>
      </c>
      <c r="D10" s="1" t="s">
        <v>22</v>
      </c>
      <c r="E10" s="1" t="s">
        <v>14</v>
      </c>
      <c r="F10" s="1">
        <v>18</v>
      </c>
      <c r="G10" s="1">
        <v>0</v>
      </c>
      <c r="H10" s="1">
        <v>0</v>
      </c>
      <c r="I10" s="1">
        <v>2657</v>
      </c>
      <c r="J10" s="1">
        <v>7.2291999999999996</v>
      </c>
      <c r="L10" s="1" t="s">
        <v>23</v>
      </c>
    </row>
    <row r="11" spans="1:12" x14ac:dyDescent="0.25">
      <c r="A11" s="1">
        <v>901</v>
      </c>
      <c r="B11" s="1">
        <v>0</v>
      </c>
      <c r="C11" s="1">
        <v>3</v>
      </c>
      <c r="D11" s="1" t="s">
        <v>24</v>
      </c>
      <c r="E11" s="1" t="s">
        <v>11</v>
      </c>
      <c r="F11" s="1">
        <v>21</v>
      </c>
      <c r="G11" s="1">
        <v>2</v>
      </c>
      <c r="H11" s="1">
        <v>0</v>
      </c>
      <c r="I11" s="1" t="s">
        <v>25</v>
      </c>
      <c r="J11" s="1">
        <v>24.15</v>
      </c>
      <c r="L11" s="1" t="s">
        <v>15</v>
      </c>
    </row>
    <row r="12" spans="1:12" x14ac:dyDescent="0.25">
      <c r="A12" s="1">
        <v>902</v>
      </c>
      <c r="B12" s="1">
        <v>0</v>
      </c>
      <c r="C12" s="1">
        <v>3</v>
      </c>
      <c r="D12" s="1" t="s">
        <v>26</v>
      </c>
      <c r="E12" s="1" t="s">
        <v>11</v>
      </c>
      <c r="G12" s="1">
        <v>0</v>
      </c>
      <c r="H12" s="1">
        <v>0</v>
      </c>
      <c r="I12" s="1">
        <v>349220</v>
      </c>
      <c r="J12" s="1">
        <v>7.8958000000000004</v>
      </c>
      <c r="L12" s="1" t="s">
        <v>15</v>
      </c>
    </row>
    <row r="13" spans="1:12" x14ac:dyDescent="0.25">
      <c r="A13" s="1">
        <v>903</v>
      </c>
      <c r="B13" s="1">
        <v>0</v>
      </c>
      <c r="C13" s="1">
        <v>1</v>
      </c>
      <c r="D13" s="1" t="s">
        <v>27</v>
      </c>
      <c r="E13" s="1" t="s">
        <v>11</v>
      </c>
      <c r="F13" s="1">
        <v>46</v>
      </c>
      <c r="G13" s="1">
        <v>0</v>
      </c>
      <c r="H13" s="1">
        <v>0</v>
      </c>
      <c r="I13" s="1">
        <v>694</v>
      </c>
      <c r="J13" s="1">
        <v>26</v>
      </c>
      <c r="L13" s="1" t="s">
        <v>15</v>
      </c>
    </row>
    <row r="14" spans="1:12" x14ac:dyDescent="0.25">
      <c r="A14" s="1">
        <v>904</v>
      </c>
      <c r="B14" s="1">
        <v>1</v>
      </c>
      <c r="C14" s="1">
        <v>1</v>
      </c>
      <c r="D14" s="1" t="s">
        <v>28</v>
      </c>
      <c r="E14" s="1" t="s">
        <v>14</v>
      </c>
      <c r="F14" s="1">
        <v>23</v>
      </c>
      <c r="G14" s="1">
        <v>1</v>
      </c>
      <c r="H14" s="1">
        <v>0</v>
      </c>
      <c r="I14" s="1">
        <v>21228</v>
      </c>
      <c r="J14" s="1">
        <v>82.2667</v>
      </c>
      <c r="K14" s="1" t="s">
        <v>29</v>
      </c>
      <c r="L14" s="1" t="s">
        <v>15</v>
      </c>
    </row>
    <row r="15" spans="1:12" x14ac:dyDescent="0.25">
      <c r="A15" s="1">
        <v>905</v>
      </c>
      <c r="B15" s="1">
        <v>0</v>
      </c>
      <c r="C15" s="1">
        <v>2</v>
      </c>
      <c r="D15" s="1" t="s">
        <v>30</v>
      </c>
      <c r="E15" s="1" t="s">
        <v>11</v>
      </c>
      <c r="F15" s="1">
        <v>63</v>
      </c>
      <c r="G15" s="1">
        <v>1</v>
      </c>
      <c r="H15" s="1">
        <v>0</v>
      </c>
      <c r="I15" s="1">
        <v>24065</v>
      </c>
      <c r="J15" s="1">
        <v>26</v>
      </c>
      <c r="L15" s="1" t="s">
        <v>15</v>
      </c>
    </row>
    <row r="16" spans="1:12" x14ac:dyDescent="0.25">
      <c r="A16" s="1">
        <v>906</v>
      </c>
      <c r="B16" s="1">
        <v>1</v>
      </c>
      <c r="C16" s="1">
        <v>1</v>
      </c>
      <c r="D16" s="1" t="s">
        <v>31</v>
      </c>
      <c r="E16" s="1" t="s">
        <v>14</v>
      </c>
      <c r="F16" s="1">
        <v>47</v>
      </c>
      <c r="G16" s="1">
        <v>1</v>
      </c>
      <c r="H16" s="1">
        <v>0</v>
      </c>
      <c r="I16" s="1" t="s">
        <v>32</v>
      </c>
      <c r="J16" s="1">
        <v>61.174999999999997</v>
      </c>
      <c r="K16" s="1" t="s">
        <v>33</v>
      </c>
      <c r="L16" s="1" t="s">
        <v>15</v>
      </c>
    </row>
    <row r="17" spans="1:12" x14ac:dyDescent="0.25">
      <c r="A17" s="1">
        <v>907</v>
      </c>
      <c r="B17" s="1">
        <v>1</v>
      </c>
      <c r="C17" s="1">
        <v>2</v>
      </c>
      <c r="D17" s="1" t="s">
        <v>34</v>
      </c>
      <c r="E17" s="1" t="s">
        <v>14</v>
      </c>
      <c r="F17" s="1">
        <v>24</v>
      </c>
      <c r="G17" s="1">
        <v>1</v>
      </c>
      <c r="H17" s="1">
        <v>0</v>
      </c>
      <c r="I17" s="1" t="s">
        <v>35</v>
      </c>
      <c r="J17" s="1">
        <v>27.720800000000001</v>
      </c>
      <c r="L17" s="1" t="s">
        <v>23</v>
      </c>
    </row>
    <row r="18" spans="1:12" x14ac:dyDescent="0.25">
      <c r="A18" s="1">
        <v>908</v>
      </c>
      <c r="B18" s="1">
        <v>0</v>
      </c>
      <c r="C18" s="1">
        <v>2</v>
      </c>
      <c r="D18" s="1" t="s">
        <v>36</v>
      </c>
      <c r="E18" s="1" t="s">
        <v>11</v>
      </c>
      <c r="F18" s="1">
        <v>35</v>
      </c>
      <c r="G18" s="1">
        <v>0</v>
      </c>
      <c r="H18" s="1">
        <v>0</v>
      </c>
      <c r="I18" s="1">
        <v>233734</v>
      </c>
      <c r="J18" s="1">
        <v>12.35</v>
      </c>
      <c r="L18" s="1" t="s">
        <v>12</v>
      </c>
    </row>
    <row r="19" spans="1:12" x14ac:dyDescent="0.25">
      <c r="A19" s="1">
        <v>909</v>
      </c>
      <c r="B19" s="1">
        <v>0</v>
      </c>
      <c r="C19" s="1">
        <v>3</v>
      </c>
      <c r="D19" s="1" t="s">
        <v>37</v>
      </c>
      <c r="E19" s="1" t="s">
        <v>11</v>
      </c>
      <c r="F19" s="1">
        <v>21</v>
      </c>
      <c r="G19" s="1">
        <v>0</v>
      </c>
      <c r="H19" s="1">
        <v>0</v>
      </c>
      <c r="I19" s="1">
        <v>2692</v>
      </c>
      <c r="J19" s="1">
        <v>7.2249999999999996</v>
      </c>
      <c r="L19" s="1" t="s">
        <v>23</v>
      </c>
    </row>
    <row r="20" spans="1:12" x14ac:dyDescent="0.25">
      <c r="A20" s="1">
        <v>910</v>
      </c>
      <c r="B20" s="1">
        <v>1</v>
      </c>
      <c r="C20" s="1">
        <v>3</v>
      </c>
      <c r="D20" s="1" t="s">
        <v>38</v>
      </c>
      <c r="E20" s="1" t="s">
        <v>14</v>
      </c>
      <c r="F20" s="1">
        <v>27</v>
      </c>
      <c r="G20" s="1">
        <v>1</v>
      </c>
      <c r="H20" s="1">
        <v>0</v>
      </c>
      <c r="I20" s="1" t="s">
        <v>39</v>
      </c>
      <c r="J20" s="1">
        <v>7.9249999999999998</v>
      </c>
      <c r="L20" s="1" t="s">
        <v>15</v>
      </c>
    </row>
    <row r="21" spans="1:12" x14ac:dyDescent="0.25">
      <c r="A21" s="1">
        <v>911</v>
      </c>
      <c r="B21" s="1">
        <v>1</v>
      </c>
      <c r="C21" s="1">
        <v>3</v>
      </c>
      <c r="D21" s="1" t="s">
        <v>40</v>
      </c>
      <c r="E21" s="1" t="s">
        <v>14</v>
      </c>
      <c r="F21" s="1">
        <v>45</v>
      </c>
      <c r="G21" s="1">
        <v>0</v>
      </c>
      <c r="H21" s="1">
        <v>0</v>
      </c>
      <c r="I21" s="1">
        <v>2696</v>
      </c>
      <c r="J21" s="1">
        <v>7.2249999999999996</v>
      </c>
      <c r="L21" s="1" t="s">
        <v>23</v>
      </c>
    </row>
    <row r="22" spans="1:12" x14ac:dyDescent="0.25">
      <c r="A22" s="1">
        <v>912</v>
      </c>
      <c r="B22" s="1">
        <v>0</v>
      </c>
      <c r="C22" s="1">
        <v>1</v>
      </c>
      <c r="D22" s="1" t="s">
        <v>41</v>
      </c>
      <c r="E22" s="1" t="s">
        <v>11</v>
      </c>
      <c r="F22" s="1">
        <v>55</v>
      </c>
      <c r="G22" s="1">
        <v>1</v>
      </c>
      <c r="H22" s="1">
        <v>0</v>
      </c>
      <c r="I22" s="1" t="s">
        <v>42</v>
      </c>
      <c r="J22" s="1">
        <v>59.4</v>
      </c>
      <c r="L22" s="1" t="s">
        <v>23</v>
      </c>
    </row>
    <row r="23" spans="1:12" x14ac:dyDescent="0.25">
      <c r="A23" s="1">
        <v>913</v>
      </c>
      <c r="B23" s="1">
        <v>0</v>
      </c>
      <c r="C23" s="1">
        <v>3</v>
      </c>
      <c r="D23" s="1" t="s">
        <v>43</v>
      </c>
      <c r="E23" s="1" t="s">
        <v>11</v>
      </c>
      <c r="F23" s="1">
        <v>9</v>
      </c>
      <c r="G23" s="1">
        <v>0</v>
      </c>
      <c r="H23" s="1">
        <v>1</v>
      </c>
      <c r="I23" s="1" t="s">
        <v>44</v>
      </c>
      <c r="J23" s="1">
        <v>3.1707999999999998</v>
      </c>
      <c r="L23" s="1" t="s">
        <v>15</v>
      </c>
    </row>
    <row r="24" spans="1:12" x14ac:dyDescent="0.25">
      <c r="A24" s="1">
        <v>914</v>
      </c>
      <c r="B24" s="1">
        <v>1</v>
      </c>
      <c r="C24" s="1">
        <v>1</v>
      </c>
      <c r="D24" s="1" t="s">
        <v>45</v>
      </c>
      <c r="E24" s="1" t="s">
        <v>14</v>
      </c>
      <c r="G24" s="1">
        <v>0</v>
      </c>
      <c r="H24" s="1">
        <v>0</v>
      </c>
      <c r="I24" s="1" t="s">
        <v>46</v>
      </c>
      <c r="J24" s="1">
        <v>31.683299999999999</v>
      </c>
      <c r="L24" s="1" t="s">
        <v>15</v>
      </c>
    </row>
    <row r="25" spans="1:12" x14ac:dyDescent="0.25">
      <c r="A25" s="1">
        <v>915</v>
      </c>
      <c r="B25" s="1">
        <v>0</v>
      </c>
      <c r="C25" s="1">
        <v>1</v>
      </c>
      <c r="D25" s="1" t="s">
        <v>47</v>
      </c>
      <c r="E25" s="1" t="s">
        <v>11</v>
      </c>
      <c r="F25" s="1">
        <v>21</v>
      </c>
      <c r="G25" s="1">
        <v>0</v>
      </c>
      <c r="H25" s="1">
        <v>1</v>
      </c>
      <c r="I25" s="1" t="s">
        <v>48</v>
      </c>
      <c r="J25" s="1">
        <v>61.379199999999997</v>
      </c>
      <c r="L25" s="1" t="s">
        <v>23</v>
      </c>
    </row>
    <row r="26" spans="1:12" x14ac:dyDescent="0.25">
      <c r="A26" s="1">
        <v>916</v>
      </c>
      <c r="B26" s="1">
        <v>1</v>
      </c>
      <c r="C26" s="1">
        <v>1</v>
      </c>
      <c r="D26" s="1" t="s">
        <v>49</v>
      </c>
      <c r="E26" s="1" t="s">
        <v>14</v>
      </c>
      <c r="F26" s="1">
        <v>48</v>
      </c>
      <c r="G26" s="1">
        <v>1</v>
      </c>
      <c r="H26" s="1">
        <v>3</v>
      </c>
      <c r="I26" s="1" t="s">
        <v>50</v>
      </c>
      <c r="J26" s="1">
        <v>262.375</v>
      </c>
      <c r="K26" s="1" t="s">
        <v>51</v>
      </c>
      <c r="L26" s="1" t="s">
        <v>23</v>
      </c>
    </row>
    <row r="27" spans="1:12" x14ac:dyDescent="0.25">
      <c r="A27" s="1">
        <v>917</v>
      </c>
      <c r="B27" s="1">
        <v>0</v>
      </c>
      <c r="C27" s="1">
        <v>3</v>
      </c>
      <c r="D27" s="1" t="s">
        <v>52</v>
      </c>
      <c r="E27" s="1" t="s">
        <v>11</v>
      </c>
      <c r="F27" s="1">
        <v>50</v>
      </c>
      <c r="G27" s="1">
        <v>1</v>
      </c>
      <c r="H27" s="1">
        <v>0</v>
      </c>
      <c r="I27" s="1" t="s">
        <v>53</v>
      </c>
      <c r="J27" s="1">
        <v>14.5</v>
      </c>
      <c r="L27" s="1" t="s">
        <v>15</v>
      </c>
    </row>
    <row r="28" spans="1:12" x14ac:dyDescent="0.25">
      <c r="A28" s="1">
        <v>918</v>
      </c>
      <c r="B28" s="1">
        <v>1</v>
      </c>
      <c r="C28" s="1">
        <v>1</v>
      </c>
      <c r="D28" s="1" t="s">
        <v>54</v>
      </c>
      <c r="E28" s="1" t="s">
        <v>14</v>
      </c>
      <c r="F28" s="1">
        <v>22</v>
      </c>
      <c r="G28" s="1">
        <v>0</v>
      </c>
      <c r="H28" s="1">
        <v>1</v>
      </c>
      <c r="I28" s="1">
        <v>113509</v>
      </c>
      <c r="J28" s="1">
        <v>61.979199999999999</v>
      </c>
      <c r="K28" s="1" t="s">
        <v>55</v>
      </c>
      <c r="L28" s="1" t="s">
        <v>23</v>
      </c>
    </row>
    <row r="29" spans="1:12" x14ac:dyDescent="0.25">
      <c r="A29" s="1">
        <v>919</v>
      </c>
      <c r="B29" s="1">
        <v>0</v>
      </c>
      <c r="C29" s="1">
        <v>3</v>
      </c>
      <c r="D29" s="1" t="s">
        <v>56</v>
      </c>
      <c r="E29" s="1" t="s">
        <v>11</v>
      </c>
      <c r="F29" s="1">
        <v>22.5</v>
      </c>
      <c r="G29" s="1">
        <v>0</v>
      </c>
      <c r="H29" s="1">
        <v>0</v>
      </c>
      <c r="I29" s="1">
        <v>2698</v>
      </c>
      <c r="J29" s="1">
        <v>7.2249999999999996</v>
      </c>
      <c r="L29" s="1" t="s">
        <v>23</v>
      </c>
    </row>
    <row r="30" spans="1:12" x14ac:dyDescent="0.25">
      <c r="A30" s="1">
        <v>920</v>
      </c>
      <c r="B30" s="1">
        <v>0</v>
      </c>
      <c r="C30" s="1">
        <v>1</v>
      </c>
      <c r="D30" s="1" t="s">
        <v>57</v>
      </c>
      <c r="E30" s="1" t="s">
        <v>11</v>
      </c>
      <c r="F30" s="1">
        <v>41</v>
      </c>
      <c r="G30" s="1">
        <v>0</v>
      </c>
      <c r="H30" s="1">
        <v>0</v>
      </c>
      <c r="I30" s="1">
        <v>113054</v>
      </c>
      <c r="J30" s="1">
        <v>30.5</v>
      </c>
      <c r="K30" s="1" t="s">
        <v>58</v>
      </c>
      <c r="L30" s="1" t="s">
        <v>15</v>
      </c>
    </row>
    <row r="31" spans="1:12" x14ac:dyDescent="0.25">
      <c r="A31" s="1">
        <v>921</v>
      </c>
      <c r="B31" s="1">
        <v>0</v>
      </c>
      <c r="C31" s="1">
        <v>3</v>
      </c>
      <c r="D31" s="1" t="s">
        <v>59</v>
      </c>
      <c r="E31" s="1" t="s">
        <v>11</v>
      </c>
      <c r="G31" s="1">
        <v>2</v>
      </c>
      <c r="H31" s="1">
        <v>0</v>
      </c>
      <c r="I31" s="1">
        <v>2662</v>
      </c>
      <c r="J31" s="1">
        <v>21.679200000000002</v>
      </c>
      <c r="L31" s="1" t="s">
        <v>23</v>
      </c>
    </row>
    <row r="32" spans="1:12" x14ac:dyDescent="0.25">
      <c r="A32" s="1">
        <v>922</v>
      </c>
      <c r="B32" s="1">
        <v>0</v>
      </c>
      <c r="C32" s="1">
        <v>2</v>
      </c>
      <c r="D32" s="1" t="s">
        <v>60</v>
      </c>
      <c r="E32" s="1" t="s">
        <v>11</v>
      </c>
      <c r="F32" s="1">
        <v>50</v>
      </c>
      <c r="G32" s="1">
        <v>1</v>
      </c>
      <c r="H32" s="1">
        <v>0</v>
      </c>
      <c r="I32" s="1" t="s">
        <v>61</v>
      </c>
      <c r="J32" s="1">
        <v>26</v>
      </c>
      <c r="L32" s="1" t="s">
        <v>15</v>
      </c>
    </row>
    <row r="33" spans="1:12" x14ac:dyDescent="0.25">
      <c r="A33" s="1">
        <v>923</v>
      </c>
      <c r="B33" s="1">
        <v>0</v>
      </c>
      <c r="C33" s="1">
        <v>2</v>
      </c>
      <c r="D33" s="1" t="s">
        <v>62</v>
      </c>
      <c r="E33" s="1" t="s">
        <v>11</v>
      </c>
      <c r="F33" s="1">
        <v>24</v>
      </c>
      <c r="G33" s="1">
        <v>2</v>
      </c>
      <c r="H33" s="1">
        <v>0</v>
      </c>
      <c r="I33" s="1" t="s">
        <v>63</v>
      </c>
      <c r="J33" s="1">
        <v>31.5</v>
      </c>
      <c r="L33" s="1" t="s">
        <v>15</v>
      </c>
    </row>
    <row r="34" spans="1:12" x14ac:dyDescent="0.25">
      <c r="A34" s="1">
        <v>924</v>
      </c>
      <c r="B34" s="1">
        <v>1</v>
      </c>
      <c r="C34" s="1">
        <v>3</v>
      </c>
      <c r="D34" s="1" t="s">
        <v>64</v>
      </c>
      <c r="E34" s="1" t="s">
        <v>14</v>
      </c>
      <c r="F34" s="1">
        <v>33</v>
      </c>
      <c r="G34" s="1">
        <v>1</v>
      </c>
      <c r="H34" s="1">
        <v>2</v>
      </c>
      <c r="I34" s="1" t="s">
        <v>65</v>
      </c>
      <c r="J34" s="1">
        <v>20.574999999999999</v>
      </c>
      <c r="L34" s="1" t="s">
        <v>15</v>
      </c>
    </row>
    <row r="35" spans="1:12" x14ac:dyDescent="0.25">
      <c r="A35" s="1">
        <v>925</v>
      </c>
      <c r="B35" s="1">
        <v>1</v>
      </c>
      <c r="C35" s="1">
        <v>3</v>
      </c>
      <c r="D35" s="1" t="s">
        <v>66</v>
      </c>
      <c r="E35" s="1" t="s">
        <v>14</v>
      </c>
      <c r="G35" s="1">
        <v>1</v>
      </c>
      <c r="H35" s="1">
        <v>2</v>
      </c>
      <c r="I35" s="1" t="s">
        <v>67</v>
      </c>
      <c r="J35" s="1">
        <v>23.45</v>
      </c>
      <c r="L35" s="1" t="s">
        <v>15</v>
      </c>
    </row>
    <row r="36" spans="1:12" x14ac:dyDescent="0.25">
      <c r="A36" s="1">
        <v>926</v>
      </c>
      <c r="B36" s="1">
        <v>0</v>
      </c>
      <c r="C36" s="1">
        <v>1</v>
      </c>
      <c r="D36" s="1" t="s">
        <v>68</v>
      </c>
      <c r="E36" s="1" t="s">
        <v>11</v>
      </c>
      <c r="F36" s="1">
        <v>30</v>
      </c>
      <c r="G36" s="1">
        <v>1</v>
      </c>
      <c r="H36" s="1">
        <v>0</v>
      </c>
      <c r="I36" s="1">
        <v>13236</v>
      </c>
      <c r="J36" s="1">
        <v>57.75</v>
      </c>
      <c r="K36" s="1" t="s">
        <v>69</v>
      </c>
      <c r="L36" s="1" t="s">
        <v>23</v>
      </c>
    </row>
    <row r="37" spans="1:12" x14ac:dyDescent="0.25">
      <c r="A37" s="1">
        <v>927</v>
      </c>
      <c r="B37" s="1">
        <v>0</v>
      </c>
      <c r="C37" s="1">
        <v>3</v>
      </c>
      <c r="D37" s="1" t="s">
        <v>70</v>
      </c>
      <c r="E37" s="1" t="s">
        <v>11</v>
      </c>
      <c r="F37" s="1">
        <v>18.5</v>
      </c>
      <c r="G37" s="1">
        <v>0</v>
      </c>
      <c r="H37" s="1">
        <v>0</v>
      </c>
      <c r="I37" s="1">
        <v>2682</v>
      </c>
      <c r="J37" s="1">
        <v>7.2291999999999996</v>
      </c>
      <c r="L37" s="1" t="s">
        <v>23</v>
      </c>
    </row>
    <row r="38" spans="1:12" x14ac:dyDescent="0.25">
      <c r="A38" s="1">
        <v>928</v>
      </c>
      <c r="B38" s="1">
        <v>1</v>
      </c>
      <c r="C38" s="1">
        <v>3</v>
      </c>
      <c r="D38" s="1" t="s">
        <v>71</v>
      </c>
      <c r="E38" s="1" t="s">
        <v>14</v>
      </c>
      <c r="G38" s="1">
        <v>0</v>
      </c>
      <c r="H38" s="1">
        <v>0</v>
      </c>
      <c r="I38" s="1">
        <v>342712</v>
      </c>
      <c r="J38" s="1">
        <v>8.0500000000000007</v>
      </c>
      <c r="L38" s="1" t="s">
        <v>15</v>
      </c>
    </row>
    <row r="39" spans="1:12" x14ac:dyDescent="0.25">
      <c r="A39" s="1">
        <v>929</v>
      </c>
      <c r="B39" s="1">
        <v>1</v>
      </c>
      <c r="C39" s="1">
        <v>3</v>
      </c>
      <c r="D39" s="1" t="s">
        <v>72</v>
      </c>
      <c r="E39" s="1" t="s">
        <v>14</v>
      </c>
      <c r="F39" s="1">
        <v>21</v>
      </c>
      <c r="G39" s="1">
        <v>0</v>
      </c>
      <c r="H39" s="1">
        <v>0</v>
      </c>
      <c r="I39" s="1">
        <v>315087</v>
      </c>
      <c r="J39" s="1">
        <v>8.6624999999999996</v>
      </c>
      <c r="L39" s="1" t="s">
        <v>15</v>
      </c>
    </row>
    <row r="40" spans="1:12" x14ac:dyDescent="0.25">
      <c r="A40" s="1">
        <v>930</v>
      </c>
      <c r="B40" s="1">
        <v>0</v>
      </c>
      <c r="C40" s="1">
        <v>3</v>
      </c>
      <c r="D40" s="1" t="s">
        <v>73</v>
      </c>
      <c r="E40" s="1" t="s">
        <v>11</v>
      </c>
      <c r="F40" s="1">
        <v>25</v>
      </c>
      <c r="G40" s="1">
        <v>0</v>
      </c>
      <c r="H40" s="1">
        <v>0</v>
      </c>
      <c r="I40" s="1">
        <v>345768</v>
      </c>
      <c r="J40" s="1">
        <v>9.5</v>
      </c>
      <c r="L40" s="1" t="s">
        <v>15</v>
      </c>
    </row>
    <row r="41" spans="1:12" x14ac:dyDescent="0.25">
      <c r="A41" s="1">
        <v>931</v>
      </c>
      <c r="B41" s="1">
        <v>0</v>
      </c>
      <c r="C41" s="1">
        <v>3</v>
      </c>
      <c r="D41" s="1" t="s">
        <v>74</v>
      </c>
      <c r="E41" s="1" t="s">
        <v>11</v>
      </c>
      <c r="G41" s="1">
        <v>0</v>
      </c>
      <c r="H41" s="1">
        <v>0</v>
      </c>
      <c r="I41" s="1">
        <v>1601</v>
      </c>
      <c r="J41" s="1">
        <v>56.495800000000003</v>
      </c>
      <c r="L41" s="1" t="s">
        <v>15</v>
      </c>
    </row>
    <row r="42" spans="1:12" x14ac:dyDescent="0.25">
      <c r="A42" s="1">
        <v>932</v>
      </c>
      <c r="B42" s="1">
        <v>0</v>
      </c>
      <c r="C42" s="1">
        <v>3</v>
      </c>
      <c r="D42" s="1" t="s">
        <v>75</v>
      </c>
      <c r="E42" s="1" t="s">
        <v>11</v>
      </c>
      <c r="F42" s="1">
        <v>39</v>
      </c>
      <c r="G42" s="1">
        <v>0</v>
      </c>
      <c r="H42" s="1">
        <v>1</v>
      </c>
      <c r="I42" s="1">
        <v>349256</v>
      </c>
      <c r="J42" s="1">
        <v>13.416700000000001</v>
      </c>
      <c r="L42" s="1" t="s">
        <v>23</v>
      </c>
    </row>
    <row r="43" spans="1:12" x14ac:dyDescent="0.25">
      <c r="A43" s="1">
        <v>933</v>
      </c>
      <c r="B43" s="1">
        <v>0</v>
      </c>
      <c r="C43" s="1">
        <v>1</v>
      </c>
      <c r="D43" s="1" t="s">
        <v>76</v>
      </c>
      <c r="E43" s="1" t="s">
        <v>11</v>
      </c>
      <c r="G43" s="1">
        <v>0</v>
      </c>
      <c r="H43" s="1">
        <v>0</v>
      </c>
      <c r="I43" s="1">
        <v>113778</v>
      </c>
      <c r="J43" s="1">
        <v>26.55</v>
      </c>
      <c r="K43" s="1" t="s">
        <v>77</v>
      </c>
      <c r="L43" s="1" t="s">
        <v>15</v>
      </c>
    </row>
    <row r="44" spans="1:12" x14ac:dyDescent="0.25">
      <c r="A44" s="1">
        <v>934</v>
      </c>
      <c r="B44" s="1">
        <v>0</v>
      </c>
      <c r="C44" s="1">
        <v>3</v>
      </c>
      <c r="D44" s="1" t="s">
        <v>78</v>
      </c>
      <c r="E44" s="1" t="s">
        <v>11</v>
      </c>
      <c r="F44" s="1">
        <v>41</v>
      </c>
      <c r="G44" s="1">
        <v>0</v>
      </c>
      <c r="H44" s="1">
        <v>0</v>
      </c>
      <c r="I44" s="1" t="s">
        <v>79</v>
      </c>
      <c r="J44" s="1">
        <v>7.85</v>
      </c>
      <c r="L44" s="1" t="s">
        <v>15</v>
      </c>
    </row>
    <row r="45" spans="1:12" x14ac:dyDescent="0.25">
      <c r="A45" s="1">
        <v>935</v>
      </c>
      <c r="B45" s="1">
        <v>1</v>
      </c>
      <c r="C45" s="1">
        <v>2</v>
      </c>
      <c r="D45" s="1" t="s">
        <v>80</v>
      </c>
      <c r="E45" s="1" t="s">
        <v>14</v>
      </c>
      <c r="F45" s="1">
        <v>30</v>
      </c>
      <c r="G45" s="1">
        <v>0</v>
      </c>
      <c r="H45" s="1">
        <v>0</v>
      </c>
      <c r="I45" s="1">
        <v>237249</v>
      </c>
      <c r="J45" s="1">
        <v>13</v>
      </c>
      <c r="L45" s="1" t="s">
        <v>15</v>
      </c>
    </row>
    <row r="46" spans="1:12" x14ac:dyDescent="0.25">
      <c r="A46" s="1">
        <v>936</v>
      </c>
      <c r="B46" s="1">
        <v>1</v>
      </c>
      <c r="C46" s="1">
        <v>1</v>
      </c>
      <c r="D46" s="1" t="s">
        <v>81</v>
      </c>
      <c r="E46" s="1" t="s">
        <v>14</v>
      </c>
      <c r="F46" s="1">
        <v>45</v>
      </c>
      <c r="G46" s="1">
        <v>1</v>
      </c>
      <c r="H46" s="1">
        <v>0</v>
      </c>
      <c r="I46" s="1">
        <v>11753</v>
      </c>
      <c r="J46" s="1">
        <v>52.554200000000002</v>
      </c>
      <c r="K46" s="1" t="s">
        <v>82</v>
      </c>
      <c r="L46" s="1" t="s">
        <v>15</v>
      </c>
    </row>
    <row r="47" spans="1:12" x14ac:dyDescent="0.25">
      <c r="A47" s="1">
        <v>937</v>
      </c>
      <c r="B47" s="1">
        <v>0</v>
      </c>
      <c r="C47" s="1">
        <v>3</v>
      </c>
      <c r="D47" s="1" t="s">
        <v>83</v>
      </c>
      <c r="E47" s="1" t="s">
        <v>11</v>
      </c>
      <c r="F47" s="1">
        <v>25</v>
      </c>
      <c r="G47" s="1">
        <v>0</v>
      </c>
      <c r="H47" s="1">
        <v>0</v>
      </c>
      <c r="I47" s="1" t="s">
        <v>84</v>
      </c>
      <c r="J47" s="1">
        <v>7.9249999999999998</v>
      </c>
      <c r="L47" s="1" t="s">
        <v>15</v>
      </c>
    </row>
    <row r="48" spans="1:12" x14ac:dyDescent="0.25">
      <c r="A48" s="1">
        <v>938</v>
      </c>
      <c r="B48" s="1">
        <v>0</v>
      </c>
      <c r="C48" s="1">
        <v>1</v>
      </c>
      <c r="D48" s="1" t="s">
        <v>85</v>
      </c>
      <c r="E48" s="1" t="s">
        <v>11</v>
      </c>
      <c r="F48" s="1">
        <v>45</v>
      </c>
      <c r="G48" s="1">
        <v>0</v>
      </c>
      <c r="H48" s="1">
        <v>0</v>
      </c>
      <c r="I48" s="1" t="s">
        <v>86</v>
      </c>
      <c r="J48" s="1">
        <v>29.7</v>
      </c>
      <c r="K48" s="1" t="s">
        <v>87</v>
      </c>
      <c r="L48" s="1" t="s">
        <v>23</v>
      </c>
    </row>
    <row r="49" spans="1:12" x14ac:dyDescent="0.25">
      <c r="A49" s="1">
        <v>939</v>
      </c>
      <c r="B49" s="1">
        <v>0</v>
      </c>
      <c r="C49" s="1">
        <v>3</v>
      </c>
      <c r="D49" s="1" t="s">
        <v>88</v>
      </c>
      <c r="E49" s="1" t="s">
        <v>11</v>
      </c>
      <c r="G49" s="1">
        <v>0</v>
      </c>
      <c r="H49" s="1">
        <v>0</v>
      </c>
      <c r="I49" s="1">
        <v>370374</v>
      </c>
      <c r="J49" s="1">
        <v>7.75</v>
      </c>
      <c r="L49" s="1" t="s">
        <v>12</v>
      </c>
    </row>
    <row r="50" spans="1:12" x14ac:dyDescent="0.25">
      <c r="A50" s="1">
        <v>940</v>
      </c>
      <c r="B50" s="1">
        <v>1</v>
      </c>
      <c r="C50" s="1">
        <v>1</v>
      </c>
      <c r="D50" s="1" t="s">
        <v>89</v>
      </c>
      <c r="E50" s="1" t="s">
        <v>14</v>
      </c>
      <c r="F50" s="1">
        <v>60</v>
      </c>
      <c r="G50" s="1">
        <v>0</v>
      </c>
      <c r="H50" s="1">
        <v>0</v>
      </c>
      <c r="I50" s="1">
        <v>11813</v>
      </c>
      <c r="J50" s="1">
        <v>76.291700000000006</v>
      </c>
      <c r="K50" s="1" t="s">
        <v>90</v>
      </c>
      <c r="L50" s="1" t="s">
        <v>23</v>
      </c>
    </row>
    <row r="51" spans="1:12" x14ac:dyDescent="0.25">
      <c r="A51" s="1">
        <v>941</v>
      </c>
      <c r="B51" s="1">
        <v>1</v>
      </c>
      <c r="C51" s="1">
        <v>3</v>
      </c>
      <c r="D51" s="1" t="s">
        <v>91</v>
      </c>
      <c r="E51" s="1" t="s">
        <v>14</v>
      </c>
      <c r="F51" s="1">
        <v>36</v>
      </c>
      <c r="G51" s="1">
        <v>0</v>
      </c>
      <c r="H51" s="1">
        <v>2</v>
      </c>
      <c r="I51" s="1" t="s">
        <v>92</v>
      </c>
      <c r="J51" s="1">
        <v>15.9</v>
      </c>
      <c r="L51" s="1" t="s">
        <v>15</v>
      </c>
    </row>
    <row r="52" spans="1:12" x14ac:dyDescent="0.25">
      <c r="A52" s="1">
        <v>942</v>
      </c>
      <c r="B52" s="1">
        <v>0</v>
      </c>
      <c r="C52" s="1">
        <v>1</v>
      </c>
      <c r="D52" s="1" t="s">
        <v>93</v>
      </c>
      <c r="E52" s="1" t="s">
        <v>11</v>
      </c>
      <c r="F52" s="1">
        <v>24</v>
      </c>
      <c r="G52" s="1">
        <v>1</v>
      </c>
      <c r="H52" s="1">
        <v>0</v>
      </c>
      <c r="I52" s="1">
        <v>13695</v>
      </c>
      <c r="J52" s="1">
        <v>60</v>
      </c>
      <c r="K52" s="1" t="s">
        <v>94</v>
      </c>
      <c r="L52" s="1" t="s">
        <v>15</v>
      </c>
    </row>
    <row r="53" spans="1:12" x14ac:dyDescent="0.25">
      <c r="A53" s="1">
        <v>943</v>
      </c>
      <c r="B53" s="1">
        <v>0</v>
      </c>
      <c r="C53" s="1">
        <v>2</v>
      </c>
      <c r="D53" s="1" t="s">
        <v>95</v>
      </c>
      <c r="E53" s="1" t="s">
        <v>11</v>
      </c>
      <c r="F53" s="1">
        <v>27</v>
      </c>
      <c r="G53" s="1">
        <v>0</v>
      </c>
      <c r="H53" s="1">
        <v>0</v>
      </c>
      <c r="I53" s="1" t="s">
        <v>96</v>
      </c>
      <c r="J53" s="1">
        <v>15.033300000000001</v>
      </c>
      <c r="L53" s="1" t="s">
        <v>23</v>
      </c>
    </row>
    <row r="54" spans="1:12" x14ac:dyDescent="0.25">
      <c r="A54" s="1">
        <v>944</v>
      </c>
      <c r="B54" s="1">
        <v>1</v>
      </c>
      <c r="C54" s="1">
        <v>2</v>
      </c>
      <c r="D54" s="1" t="s">
        <v>97</v>
      </c>
      <c r="E54" s="1" t="s">
        <v>14</v>
      </c>
      <c r="F54" s="1">
        <v>20</v>
      </c>
      <c r="G54" s="1">
        <v>2</v>
      </c>
      <c r="H54" s="1">
        <v>1</v>
      </c>
      <c r="I54" s="1">
        <v>29105</v>
      </c>
      <c r="J54" s="1">
        <v>23</v>
      </c>
      <c r="L54" s="1" t="s">
        <v>15</v>
      </c>
    </row>
    <row r="55" spans="1:12" x14ac:dyDescent="0.25">
      <c r="A55" s="1">
        <v>945</v>
      </c>
      <c r="B55" s="1">
        <v>1</v>
      </c>
      <c r="C55" s="1">
        <v>1</v>
      </c>
      <c r="D55" s="1" t="s">
        <v>98</v>
      </c>
      <c r="E55" s="1" t="s">
        <v>14</v>
      </c>
      <c r="F55" s="1">
        <v>28</v>
      </c>
      <c r="G55" s="1">
        <v>3</v>
      </c>
      <c r="H55" s="1">
        <v>2</v>
      </c>
      <c r="I55" s="1">
        <v>19950</v>
      </c>
      <c r="J55" s="1">
        <v>263</v>
      </c>
      <c r="K55" s="1" t="s">
        <v>99</v>
      </c>
      <c r="L55" s="1" t="s">
        <v>15</v>
      </c>
    </row>
    <row r="56" spans="1:12" x14ac:dyDescent="0.25">
      <c r="A56" s="1">
        <v>946</v>
      </c>
      <c r="B56" s="1">
        <v>0</v>
      </c>
      <c r="C56" s="1">
        <v>2</v>
      </c>
      <c r="D56" s="1" t="s">
        <v>100</v>
      </c>
      <c r="E56" s="1" t="s">
        <v>11</v>
      </c>
      <c r="G56" s="1">
        <v>0</v>
      </c>
      <c r="H56" s="1">
        <v>0</v>
      </c>
      <c r="I56" s="1" t="s">
        <v>101</v>
      </c>
      <c r="J56" s="1">
        <v>15.5792</v>
      </c>
      <c r="L56" s="1" t="s">
        <v>23</v>
      </c>
    </row>
    <row r="57" spans="1:12" x14ac:dyDescent="0.25">
      <c r="A57" s="1">
        <v>947</v>
      </c>
      <c r="B57" s="1">
        <v>0</v>
      </c>
      <c r="C57" s="1">
        <v>3</v>
      </c>
      <c r="D57" s="1" t="s">
        <v>102</v>
      </c>
      <c r="E57" s="1" t="s">
        <v>11</v>
      </c>
      <c r="F57" s="1">
        <v>10</v>
      </c>
      <c r="G57" s="1">
        <v>4</v>
      </c>
      <c r="H57" s="1">
        <v>1</v>
      </c>
      <c r="I57" s="1">
        <v>382652</v>
      </c>
      <c r="J57" s="1">
        <v>29.125</v>
      </c>
      <c r="L57" s="1" t="s">
        <v>12</v>
      </c>
    </row>
    <row r="58" spans="1:12" x14ac:dyDescent="0.25">
      <c r="A58" s="1">
        <v>948</v>
      </c>
      <c r="B58" s="1">
        <v>0</v>
      </c>
      <c r="C58" s="1">
        <v>3</v>
      </c>
      <c r="D58" s="1" t="s">
        <v>103</v>
      </c>
      <c r="E58" s="1" t="s">
        <v>11</v>
      </c>
      <c r="F58" s="1">
        <v>35</v>
      </c>
      <c r="G58" s="1">
        <v>0</v>
      </c>
      <c r="H58" s="1">
        <v>0</v>
      </c>
      <c r="I58" s="1">
        <v>349230</v>
      </c>
      <c r="J58" s="1">
        <v>7.8958000000000004</v>
      </c>
      <c r="L58" s="1" t="s">
        <v>15</v>
      </c>
    </row>
    <row r="59" spans="1:12" x14ac:dyDescent="0.25">
      <c r="A59" s="1">
        <v>949</v>
      </c>
      <c r="B59" s="1">
        <v>0</v>
      </c>
      <c r="C59" s="1">
        <v>3</v>
      </c>
      <c r="D59" s="1" t="s">
        <v>104</v>
      </c>
      <c r="E59" s="1" t="s">
        <v>11</v>
      </c>
      <c r="F59" s="1">
        <v>25</v>
      </c>
      <c r="G59" s="1">
        <v>0</v>
      </c>
      <c r="H59" s="1">
        <v>0</v>
      </c>
      <c r="I59" s="1">
        <v>348122</v>
      </c>
      <c r="J59" s="1">
        <v>7.65</v>
      </c>
      <c r="K59" s="1" t="s">
        <v>105</v>
      </c>
      <c r="L59" s="1" t="s">
        <v>15</v>
      </c>
    </row>
    <row r="60" spans="1:12" x14ac:dyDescent="0.25">
      <c r="A60" s="1">
        <v>950</v>
      </c>
      <c r="B60" s="1">
        <v>0</v>
      </c>
      <c r="C60" s="1">
        <v>3</v>
      </c>
      <c r="D60" s="1" t="s">
        <v>106</v>
      </c>
      <c r="E60" s="1" t="s">
        <v>11</v>
      </c>
      <c r="G60" s="1">
        <v>1</v>
      </c>
      <c r="H60" s="1">
        <v>0</v>
      </c>
      <c r="I60" s="1">
        <v>386525</v>
      </c>
      <c r="J60" s="1">
        <v>16.100000000000001</v>
      </c>
      <c r="L60" s="1" t="s">
        <v>15</v>
      </c>
    </row>
    <row r="61" spans="1:12" x14ac:dyDescent="0.25">
      <c r="A61" s="1">
        <v>951</v>
      </c>
      <c r="B61" s="1">
        <v>1</v>
      </c>
      <c r="C61" s="1">
        <v>1</v>
      </c>
      <c r="D61" s="1" t="s">
        <v>107</v>
      </c>
      <c r="E61" s="1" t="s">
        <v>14</v>
      </c>
      <c r="F61" s="1">
        <v>36</v>
      </c>
      <c r="G61" s="1">
        <v>0</v>
      </c>
      <c r="H61" s="1">
        <v>0</v>
      </c>
      <c r="I61" s="1" t="s">
        <v>50</v>
      </c>
      <c r="J61" s="1">
        <v>262.375</v>
      </c>
      <c r="K61" s="1" t="s">
        <v>108</v>
      </c>
      <c r="L61" s="1" t="s">
        <v>23</v>
      </c>
    </row>
    <row r="62" spans="1:12" x14ac:dyDescent="0.25">
      <c r="A62" s="1">
        <v>952</v>
      </c>
      <c r="B62" s="1">
        <v>0</v>
      </c>
      <c r="C62" s="1">
        <v>3</v>
      </c>
      <c r="D62" s="1" t="s">
        <v>109</v>
      </c>
      <c r="E62" s="1" t="s">
        <v>11</v>
      </c>
      <c r="F62" s="1">
        <v>17</v>
      </c>
      <c r="G62" s="1">
        <v>0</v>
      </c>
      <c r="H62" s="1">
        <v>0</v>
      </c>
      <c r="I62" s="1">
        <v>349232</v>
      </c>
      <c r="J62" s="1">
        <v>7.8958000000000004</v>
      </c>
      <c r="L62" s="1" t="s">
        <v>15</v>
      </c>
    </row>
    <row r="63" spans="1:12" x14ac:dyDescent="0.25">
      <c r="A63" s="1">
        <v>953</v>
      </c>
      <c r="B63" s="1">
        <v>0</v>
      </c>
      <c r="C63" s="1">
        <v>2</v>
      </c>
      <c r="D63" s="1" t="s">
        <v>110</v>
      </c>
      <c r="E63" s="1" t="s">
        <v>11</v>
      </c>
      <c r="F63" s="1">
        <v>32</v>
      </c>
      <c r="G63" s="1">
        <v>0</v>
      </c>
      <c r="H63" s="1">
        <v>0</v>
      </c>
      <c r="I63" s="1">
        <v>237216</v>
      </c>
      <c r="J63" s="1">
        <v>13.5</v>
      </c>
      <c r="L63" s="1" t="s">
        <v>15</v>
      </c>
    </row>
    <row r="64" spans="1:12" x14ac:dyDescent="0.25">
      <c r="A64" s="1">
        <v>954</v>
      </c>
      <c r="B64" s="1">
        <v>0</v>
      </c>
      <c r="C64" s="1">
        <v>3</v>
      </c>
      <c r="D64" s="1" t="s">
        <v>111</v>
      </c>
      <c r="E64" s="1" t="s">
        <v>11</v>
      </c>
      <c r="F64" s="1">
        <v>18</v>
      </c>
      <c r="G64" s="1">
        <v>0</v>
      </c>
      <c r="H64" s="1">
        <v>0</v>
      </c>
      <c r="I64" s="1">
        <v>347090</v>
      </c>
      <c r="J64" s="1">
        <v>7.75</v>
      </c>
      <c r="L64" s="1" t="s">
        <v>15</v>
      </c>
    </row>
    <row r="65" spans="1:12" x14ac:dyDescent="0.25">
      <c r="A65" s="1">
        <v>955</v>
      </c>
      <c r="B65" s="1">
        <v>1</v>
      </c>
      <c r="C65" s="1">
        <v>3</v>
      </c>
      <c r="D65" s="1" t="s">
        <v>112</v>
      </c>
      <c r="E65" s="1" t="s">
        <v>14</v>
      </c>
      <c r="F65" s="1">
        <v>22</v>
      </c>
      <c r="G65" s="1">
        <v>0</v>
      </c>
      <c r="H65" s="1">
        <v>0</v>
      </c>
      <c r="I65" s="1">
        <v>334914</v>
      </c>
      <c r="J65" s="1">
        <v>7.7249999999999996</v>
      </c>
      <c r="L65" s="1" t="s">
        <v>12</v>
      </c>
    </row>
    <row r="66" spans="1:12" x14ac:dyDescent="0.25">
      <c r="A66" s="1">
        <v>956</v>
      </c>
      <c r="B66" s="1">
        <v>0</v>
      </c>
      <c r="C66" s="1">
        <v>1</v>
      </c>
      <c r="D66" s="1" t="s">
        <v>113</v>
      </c>
      <c r="E66" s="1" t="s">
        <v>11</v>
      </c>
      <c r="F66" s="1">
        <v>13</v>
      </c>
      <c r="G66" s="1">
        <v>2</v>
      </c>
      <c r="H66" s="1">
        <v>2</v>
      </c>
      <c r="I66" s="1" t="s">
        <v>50</v>
      </c>
      <c r="J66" s="1">
        <v>262.375</v>
      </c>
      <c r="K66" s="1" t="s">
        <v>51</v>
      </c>
      <c r="L66" s="1" t="s">
        <v>23</v>
      </c>
    </row>
    <row r="67" spans="1:12" x14ac:dyDescent="0.25">
      <c r="A67" s="1">
        <v>957</v>
      </c>
      <c r="B67" s="1">
        <v>1</v>
      </c>
      <c r="C67" s="1">
        <v>2</v>
      </c>
      <c r="D67" s="1" t="s">
        <v>114</v>
      </c>
      <c r="E67" s="1" t="s">
        <v>14</v>
      </c>
      <c r="G67" s="1">
        <v>0</v>
      </c>
      <c r="H67" s="1">
        <v>0</v>
      </c>
      <c r="I67" s="1" t="s">
        <v>115</v>
      </c>
      <c r="J67" s="1">
        <v>21</v>
      </c>
      <c r="L67" s="1" t="s">
        <v>15</v>
      </c>
    </row>
    <row r="68" spans="1:12" x14ac:dyDescent="0.25">
      <c r="A68" s="1">
        <v>958</v>
      </c>
      <c r="B68" s="1">
        <v>1</v>
      </c>
      <c r="C68" s="1">
        <v>3</v>
      </c>
      <c r="D68" s="1" t="s">
        <v>116</v>
      </c>
      <c r="E68" s="1" t="s">
        <v>14</v>
      </c>
      <c r="F68" s="1">
        <v>18</v>
      </c>
      <c r="G68" s="1">
        <v>0</v>
      </c>
      <c r="H68" s="1">
        <v>0</v>
      </c>
      <c r="I68" s="1">
        <v>330963</v>
      </c>
      <c r="J68" s="1">
        <v>7.8792</v>
      </c>
      <c r="L68" s="1" t="s">
        <v>12</v>
      </c>
    </row>
    <row r="69" spans="1:12" x14ac:dyDescent="0.25">
      <c r="A69" s="1">
        <v>959</v>
      </c>
      <c r="B69" s="1">
        <v>0</v>
      </c>
      <c r="C69" s="1">
        <v>1</v>
      </c>
      <c r="D69" s="1" t="s">
        <v>117</v>
      </c>
      <c r="E69" s="1" t="s">
        <v>11</v>
      </c>
      <c r="F69" s="1">
        <v>47</v>
      </c>
      <c r="G69" s="1">
        <v>0</v>
      </c>
      <c r="H69" s="1">
        <v>0</v>
      </c>
      <c r="I69" s="1">
        <v>113796</v>
      </c>
      <c r="J69" s="1">
        <v>42.4</v>
      </c>
      <c r="L69" s="1" t="s">
        <v>15</v>
      </c>
    </row>
    <row r="70" spans="1:12" x14ac:dyDescent="0.25">
      <c r="A70" s="1">
        <v>960</v>
      </c>
      <c r="B70" s="1">
        <v>0</v>
      </c>
      <c r="C70" s="1">
        <v>1</v>
      </c>
      <c r="D70" s="1" t="s">
        <v>118</v>
      </c>
      <c r="E70" s="1" t="s">
        <v>11</v>
      </c>
      <c r="F70" s="1">
        <v>31</v>
      </c>
      <c r="G70" s="1">
        <v>0</v>
      </c>
      <c r="H70" s="1">
        <v>0</v>
      </c>
      <c r="I70" s="1">
        <v>2543</v>
      </c>
      <c r="J70" s="1">
        <v>28.537500000000001</v>
      </c>
      <c r="K70" s="1" t="s">
        <v>119</v>
      </c>
      <c r="L70" s="1" t="s">
        <v>23</v>
      </c>
    </row>
    <row r="71" spans="1:12" x14ac:dyDescent="0.25">
      <c r="A71" s="1">
        <v>961</v>
      </c>
      <c r="B71" s="1">
        <v>1</v>
      </c>
      <c r="C71" s="1">
        <v>1</v>
      </c>
      <c r="D71" s="1" t="s">
        <v>120</v>
      </c>
      <c r="E71" s="1" t="s">
        <v>14</v>
      </c>
      <c r="F71" s="1">
        <v>60</v>
      </c>
      <c r="G71" s="1">
        <v>1</v>
      </c>
      <c r="H71" s="1">
        <v>4</v>
      </c>
      <c r="I71" s="1">
        <v>19950</v>
      </c>
      <c r="J71" s="1">
        <v>263</v>
      </c>
      <c r="K71" s="1" t="s">
        <v>99</v>
      </c>
      <c r="L71" s="1" t="s">
        <v>15</v>
      </c>
    </row>
    <row r="72" spans="1:12" x14ac:dyDescent="0.25">
      <c r="A72" s="1">
        <v>962</v>
      </c>
      <c r="B72" s="1">
        <v>1</v>
      </c>
      <c r="C72" s="1">
        <v>3</v>
      </c>
      <c r="D72" s="1" t="s">
        <v>121</v>
      </c>
      <c r="E72" s="1" t="s">
        <v>14</v>
      </c>
      <c r="F72" s="1">
        <v>24</v>
      </c>
      <c r="G72" s="1">
        <v>0</v>
      </c>
      <c r="H72" s="1">
        <v>0</v>
      </c>
      <c r="I72" s="1">
        <v>382653</v>
      </c>
      <c r="J72" s="1">
        <v>7.75</v>
      </c>
      <c r="L72" s="1" t="s">
        <v>12</v>
      </c>
    </row>
    <row r="73" spans="1:12" x14ac:dyDescent="0.25">
      <c r="A73" s="1">
        <v>963</v>
      </c>
      <c r="B73" s="1">
        <v>0</v>
      </c>
      <c r="C73" s="1">
        <v>3</v>
      </c>
      <c r="D73" s="1" t="s">
        <v>122</v>
      </c>
      <c r="E73" s="1" t="s">
        <v>11</v>
      </c>
      <c r="F73" s="1">
        <v>21</v>
      </c>
      <c r="G73" s="1">
        <v>0</v>
      </c>
      <c r="H73" s="1">
        <v>0</v>
      </c>
      <c r="I73" s="1">
        <v>349211</v>
      </c>
      <c r="J73" s="1">
        <v>7.8958000000000004</v>
      </c>
      <c r="L73" s="1" t="s">
        <v>15</v>
      </c>
    </row>
    <row r="74" spans="1:12" x14ac:dyDescent="0.25">
      <c r="A74" s="1">
        <v>964</v>
      </c>
      <c r="B74" s="1">
        <v>1</v>
      </c>
      <c r="C74" s="1">
        <v>3</v>
      </c>
      <c r="D74" s="1" t="s">
        <v>123</v>
      </c>
      <c r="E74" s="1" t="s">
        <v>14</v>
      </c>
      <c r="F74" s="1">
        <v>29</v>
      </c>
      <c r="G74" s="1">
        <v>0</v>
      </c>
      <c r="H74" s="1">
        <v>0</v>
      </c>
      <c r="I74" s="1">
        <v>3101297</v>
      </c>
      <c r="J74" s="1">
        <v>7.9249999999999998</v>
      </c>
      <c r="L74" s="1" t="s">
        <v>15</v>
      </c>
    </row>
    <row r="75" spans="1:12" x14ac:dyDescent="0.25">
      <c r="A75" s="1">
        <v>965</v>
      </c>
      <c r="B75" s="1">
        <v>0</v>
      </c>
      <c r="C75" s="1">
        <v>1</v>
      </c>
      <c r="D75" s="1" t="s">
        <v>124</v>
      </c>
      <c r="E75" s="1" t="s">
        <v>11</v>
      </c>
      <c r="F75" s="1">
        <v>28.5</v>
      </c>
      <c r="G75" s="1">
        <v>0</v>
      </c>
      <c r="H75" s="1">
        <v>0</v>
      </c>
      <c r="I75" s="1" t="s">
        <v>125</v>
      </c>
      <c r="J75" s="1">
        <v>27.720800000000001</v>
      </c>
      <c r="K75" s="1" t="s">
        <v>126</v>
      </c>
      <c r="L75" s="1" t="s">
        <v>23</v>
      </c>
    </row>
    <row r="76" spans="1:12" x14ac:dyDescent="0.25">
      <c r="A76" s="1">
        <v>966</v>
      </c>
      <c r="B76" s="1">
        <v>1</v>
      </c>
      <c r="C76" s="1">
        <v>1</v>
      </c>
      <c r="D76" s="1" t="s">
        <v>127</v>
      </c>
      <c r="E76" s="1" t="s">
        <v>14</v>
      </c>
      <c r="F76" s="1">
        <v>35</v>
      </c>
      <c r="G76" s="1">
        <v>0</v>
      </c>
      <c r="H76" s="1">
        <v>0</v>
      </c>
      <c r="I76" s="1">
        <v>113503</v>
      </c>
      <c r="J76" s="1">
        <v>211.5</v>
      </c>
      <c r="K76" s="1" t="s">
        <v>128</v>
      </c>
      <c r="L76" s="1" t="s">
        <v>23</v>
      </c>
    </row>
    <row r="77" spans="1:12" x14ac:dyDescent="0.25">
      <c r="A77" s="1">
        <v>967</v>
      </c>
      <c r="B77" s="1">
        <v>0</v>
      </c>
      <c r="C77" s="1">
        <v>1</v>
      </c>
      <c r="D77" s="1" t="s">
        <v>129</v>
      </c>
      <c r="E77" s="1" t="s">
        <v>11</v>
      </c>
      <c r="F77" s="1">
        <v>32.5</v>
      </c>
      <c r="G77" s="1">
        <v>0</v>
      </c>
      <c r="H77" s="1">
        <v>0</v>
      </c>
      <c r="I77" s="1">
        <v>113503</v>
      </c>
      <c r="J77" s="1">
        <v>211.5</v>
      </c>
      <c r="K77" s="1" t="s">
        <v>130</v>
      </c>
      <c r="L77" s="1" t="s">
        <v>23</v>
      </c>
    </row>
    <row r="78" spans="1:12" x14ac:dyDescent="0.25">
      <c r="A78" s="1">
        <v>968</v>
      </c>
      <c r="B78" s="1">
        <v>0</v>
      </c>
      <c r="C78" s="1">
        <v>3</v>
      </c>
      <c r="D78" s="1" t="s">
        <v>131</v>
      </c>
      <c r="E78" s="1" t="s">
        <v>11</v>
      </c>
      <c r="G78" s="1">
        <v>0</v>
      </c>
      <c r="H78" s="1">
        <v>0</v>
      </c>
      <c r="I78" s="1">
        <v>359306</v>
      </c>
      <c r="J78" s="1">
        <v>8.0500000000000007</v>
      </c>
      <c r="L78" s="1" t="s">
        <v>15</v>
      </c>
    </row>
    <row r="79" spans="1:12" x14ac:dyDescent="0.25">
      <c r="A79" s="1">
        <v>969</v>
      </c>
      <c r="B79" s="1">
        <v>1</v>
      </c>
      <c r="C79" s="1">
        <v>1</v>
      </c>
      <c r="D79" s="1" t="s">
        <v>132</v>
      </c>
      <c r="E79" s="1" t="s">
        <v>14</v>
      </c>
      <c r="F79" s="1">
        <v>55</v>
      </c>
      <c r="G79" s="1">
        <v>2</v>
      </c>
      <c r="H79" s="1">
        <v>0</v>
      </c>
      <c r="I79" s="1">
        <v>11770</v>
      </c>
      <c r="J79" s="1">
        <v>25.7</v>
      </c>
      <c r="K79" s="1" t="s">
        <v>133</v>
      </c>
      <c r="L79" s="1" t="s">
        <v>15</v>
      </c>
    </row>
    <row r="80" spans="1:12" x14ac:dyDescent="0.25">
      <c r="A80" s="1">
        <v>970</v>
      </c>
      <c r="B80" s="1">
        <v>0</v>
      </c>
      <c r="C80" s="1">
        <v>2</v>
      </c>
      <c r="D80" s="1" t="s">
        <v>134</v>
      </c>
      <c r="E80" s="1" t="s">
        <v>11</v>
      </c>
      <c r="F80" s="1">
        <v>30</v>
      </c>
      <c r="G80" s="1">
        <v>0</v>
      </c>
      <c r="H80" s="1">
        <v>0</v>
      </c>
      <c r="I80" s="1">
        <v>248744</v>
      </c>
      <c r="J80" s="1">
        <v>13</v>
      </c>
      <c r="L80" s="1" t="s">
        <v>15</v>
      </c>
    </row>
    <row r="81" spans="1:12" x14ac:dyDescent="0.25">
      <c r="A81" s="1">
        <v>971</v>
      </c>
      <c r="B81" s="1">
        <v>1</v>
      </c>
      <c r="C81" s="1">
        <v>3</v>
      </c>
      <c r="D81" s="1" t="s">
        <v>135</v>
      </c>
      <c r="E81" s="1" t="s">
        <v>14</v>
      </c>
      <c r="F81" s="1">
        <v>24</v>
      </c>
      <c r="G81" s="1">
        <v>0</v>
      </c>
      <c r="H81" s="1">
        <v>0</v>
      </c>
      <c r="I81" s="1">
        <v>368702</v>
      </c>
      <c r="J81" s="1">
        <v>7.75</v>
      </c>
      <c r="L81" s="1" t="s">
        <v>12</v>
      </c>
    </row>
    <row r="82" spans="1:12" x14ac:dyDescent="0.25">
      <c r="A82" s="1">
        <v>972</v>
      </c>
      <c r="B82" s="1">
        <v>0</v>
      </c>
      <c r="C82" s="1">
        <v>3</v>
      </c>
      <c r="D82" s="1" t="s">
        <v>136</v>
      </c>
      <c r="E82" s="1" t="s">
        <v>11</v>
      </c>
      <c r="F82" s="1">
        <v>6</v>
      </c>
      <c r="G82" s="1">
        <v>1</v>
      </c>
      <c r="H82" s="1">
        <v>1</v>
      </c>
      <c r="I82" s="1">
        <v>2678</v>
      </c>
      <c r="J82" s="1">
        <v>15.245799999999999</v>
      </c>
      <c r="L82" s="1" t="s">
        <v>23</v>
      </c>
    </row>
    <row r="83" spans="1:12" x14ac:dyDescent="0.25">
      <c r="A83" s="1">
        <v>973</v>
      </c>
      <c r="B83" s="1">
        <v>0</v>
      </c>
      <c r="C83" s="1">
        <v>1</v>
      </c>
      <c r="D83" s="1" t="s">
        <v>137</v>
      </c>
      <c r="E83" s="1" t="s">
        <v>11</v>
      </c>
      <c r="F83" s="1">
        <v>67</v>
      </c>
      <c r="G83" s="1">
        <v>1</v>
      </c>
      <c r="H83" s="1">
        <v>0</v>
      </c>
      <c r="I83" s="1" t="s">
        <v>138</v>
      </c>
      <c r="J83" s="1">
        <v>221.7792</v>
      </c>
      <c r="K83" s="1" t="s">
        <v>139</v>
      </c>
      <c r="L83" s="1" t="s">
        <v>15</v>
      </c>
    </row>
    <row r="84" spans="1:12" x14ac:dyDescent="0.25">
      <c r="A84" s="1">
        <v>974</v>
      </c>
      <c r="B84" s="1">
        <v>0</v>
      </c>
      <c r="C84" s="1">
        <v>1</v>
      </c>
      <c r="D84" s="1" t="s">
        <v>140</v>
      </c>
      <c r="E84" s="1" t="s">
        <v>11</v>
      </c>
      <c r="F84" s="1">
        <v>49</v>
      </c>
      <c r="G84" s="1">
        <v>0</v>
      </c>
      <c r="H84" s="1">
        <v>0</v>
      </c>
      <c r="I84" s="1">
        <v>19924</v>
      </c>
      <c r="J84" s="1">
        <v>26</v>
      </c>
      <c r="L84" s="1" t="s">
        <v>15</v>
      </c>
    </row>
    <row r="85" spans="1:12" x14ac:dyDescent="0.25">
      <c r="A85" s="1">
        <v>975</v>
      </c>
      <c r="B85" s="1">
        <v>0</v>
      </c>
      <c r="C85" s="1">
        <v>3</v>
      </c>
      <c r="D85" s="1" t="s">
        <v>141</v>
      </c>
      <c r="E85" s="1" t="s">
        <v>11</v>
      </c>
      <c r="G85" s="1">
        <v>0</v>
      </c>
      <c r="H85" s="1">
        <v>0</v>
      </c>
      <c r="I85" s="1">
        <v>349238</v>
      </c>
      <c r="J85" s="1">
        <v>7.8958000000000004</v>
      </c>
      <c r="L85" s="1" t="s">
        <v>15</v>
      </c>
    </row>
    <row r="86" spans="1:12" x14ac:dyDescent="0.25">
      <c r="A86" s="1">
        <v>976</v>
      </c>
      <c r="B86" s="1">
        <v>0</v>
      </c>
      <c r="C86" s="1">
        <v>2</v>
      </c>
      <c r="D86" s="1" t="s">
        <v>142</v>
      </c>
      <c r="E86" s="1" t="s">
        <v>11</v>
      </c>
      <c r="G86" s="1">
        <v>0</v>
      </c>
      <c r="H86" s="1">
        <v>0</v>
      </c>
      <c r="I86" s="1">
        <v>240261</v>
      </c>
      <c r="J86" s="1">
        <v>10.708299999999999</v>
      </c>
      <c r="L86" s="1" t="s">
        <v>12</v>
      </c>
    </row>
    <row r="87" spans="1:12" x14ac:dyDescent="0.25">
      <c r="A87" s="1">
        <v>977</v>
      </c>
      <c r="B87" s="1">
        <v>0</v>
      </c>
      <c r="C87" s="1">
        <v>3</v>
      </c>
      <c r="D87" s="1" t="s">
        <v>143</v>
      </c>
      <c r="E87" s="1" t="s">
        <v>11</v>
      </c>
      <c r="G87" s="1">
        <v>1</v>
      </c>
      <c r="H87" s="1">
        <v>0</v>
      </c>
      <c r="I87" s="1">
        <v>2660</v>
      </c>
      <c r="J87" s="1">
        <v>14.4542</v>
      </c>
      <c r="L87" s="1" t="s">
        <v>23</v>
      </c>
    </row>
    <row r="88" spans="1:12" x14ac:dyDescent="0.25">
      <c r="A88" s="1">
        <v>978</v>
      </c>
      <c r="B88" s="1">
        <v>1</v>
      </c>
      <c r="C88" s="1">
        <v>3</v>
      </c>
      <c r="D88" s="1" t="s">
        <v>144</v>
      </c>
      <c r="E88" s="1" t="s">
        <v>14</v>
      </c>
      <c r="F88" s="1">
        <v>27</v>
      </c>
      <c r="G88" s="1">
        <v>0</v>
      </c>
      <c r="H88" s="1">
        <v>0</v>
      </c>
      <c r="I88" s="1">
        <v>330844</v>
      </c>
      <c r="J88" s="1">
        <v>7.8792</v>
      </c>
      <c r="L88" s="1" t="s">
        <v>12</v>
      </c>
    </row>
    <row r="89" spans="1:12" x14ac:dyDescent="0.25">
      <c r="A89" s="1">
        <v>979</v>
      </c>
      <c r="B89" s="1">
        <v>1</v>
      </c>
      <c r="C89" s="1">
        <v>3</v>
      </c>
      <c r="D89" s="1" t="s">
        <v>145</v>
      </c>
      <c r="E89" s="1" t="s">
        <v>14</v>
      </c>
      <c r="F89" s="1">
        <v>18</v>
      </c>
      <c r="G89" s="1">
        <v>0</v>
      </c>
      <c r="H89" s="1">
        <v>0</v>
      </c>
      <c r="I89" s="1" t="s">
        <v>146</v>
      </c>
      <c r="J89" s="1">
        <v>8.0500000000000007</v>
      </c>
      <c r="L89" s="1" t="s">
        <v>15</v>
      </c>
    </row>
    <row r="90" spans="1:12" x14ac:dyDescent="0.25">
      <c r="A90" s="1">
        <v>980</v>
      </c>
      <c r="B90" s="1">
        <v>1</v>
      </c>
      <c r="C90" s="1">
        <v>3</v>
      </c>
      <c r="D90" s="1" t="s">
        <v>147</v>
      </c>
      <c r="E90" s="1" t="s">
        <v>14</v>
      </c>
      <c r="G90" s="1">
        <v>0</v>
      </c>
      <c r="H90" s="1">
        <v>0</v>
      </c>
      <c r="I90" s="1">
        <v>364856</v>
      </c>
      <c r="J90" s="1">
        <v>7.75</v>
      </c>
      <c r="L90" s="1" t="s">
        <v>12</v>
      </c>
    </row>
    <row r="91" spans="1:12" x14ac:dyDescent="0.25">
      <c r="A91" s="1">
        <v>981</v>
      </c>
      <c r="B91" s="1">
        <v>0</v>
      </c>
      <c r="C91" s="1">
        <v>2</v>
      </c>
      <c r="D91" s="1" t="s">
        <v>148</v>
      </c>
      <c r="E91" s="1" t="s">
        <v>11</v>
      </c>
      <c r="F91" s="1">
        <v>2</v>
      </c>
      <c r="G91" s="1">
        <v>1</v>
      </c>
      <c r="H91" s="1">
        <v>1</v>
      </c>
      <c r="I91" s="1">
        <v>29103</v>
      </c>
      <c r="J91" s="1">
        <v>23</v>
      </c>
      <c r="L91" s="1" t="s">
        <v>15</v>
      </c>
    </row>
    <row r="92" spans="1:12" x14ac:dyDescent="0.25">
      <c r="A92" s="1">
        <v>982</v>
      </c>
      <c r="B92" s="1">
        <v>1</v>
      </c>
      <c r="C92" s="1">
        <v>3</v>
      </c>
      <c r="D92" s="1" t="s">
        <v>149</v>
      </c>
      <c r="E92" s="1" t="s">
        <v>14</v>
      </c>
      <c r="F92" s="1">
        <v>22</v>
      </c>
      <c r="G92" s="1">
        <v>1</v>
      </c>
      <c r="H92" s="1">
        <v>0</v>
      </c>
      <c r="I92" s="1">
        <v>347072</v>
      </c>
      <c r="J92" s="1">
        <v>13.9</v>
      </c>
      <c r="L92" s="1" t="s">
        <v>15</v>
      </c>
    </row>
    <row r="93" spans="1:12" x14ac:dyDescent="0.25">
      <c r="A93" s="1">
        <v>983</v>
      </c>
      <c r="B93" s="1">
        <v>0</v>
      </c>
      <c r="C93" s="1">
        <v>3</v>
      </c>
      <c r="D93" s="1" t="s">
        <v>150</v>
      </c>
      <c r="E93" s="1" t="s">
        <v>11</v>
      </c>
      <c r="G93" s="1">
        <v>0</v>
      </c>
      <c r="H93" s="1">
        <v>0</v>
      </c>
      <c r="I93" s="1">
        <v>345498</v>
      </c>
      <c r="J93" s="1">
        <v>7.7750000000000004</v>
      </c>
      <c r="L93" s="1" t="s">
        <v>15</v>
      </c>
    </row>
    <row r="94" spans="1:12" x14ac:dyDescent="0.25">
      <c r="A94" s="1">
        <v>984</v>
      </c>
      <c r="B94" s="1">
        <v>1</v>
      </c>
      <c r="C94" s="1">
        <v>1</v>
      </c>
      <c r="D94" s="1" t="s">
        <v>151</v>
      </c>
      <c r="E94" s="1" t="s">
        <v>14</v>
      </c>
      <c r="F94" s="1">
        <v>27</v>
      </c>
      <c r="G94" s="1">
        <v>1</v>
      </c>
      <c r="H94" s="1">
        <v>2</v>
      </c>
      <c r="I94" s="1" t="s">
        <v>152</v>
      </c>
      <c r="J94" s="1">
        <v>52</v>
      </c>
      <c r="K94" s="1" t="s">
        <v>153</v>
      </c>
      <c r="L94" s="1" t="s">
        <v>15</v>
      </c>
    </row>
    <row r="95" spans="1:12" x14ac:dyDescent="0.25">
      <c r="A95" s="1">
        <v>985</v>
      </c>
      <c r="B95" s="1">
        <v>0</v>
      </c>
      <c r="C95" s="1">
        <v>3</v>
      </c>
      <c r="D95" s="1" t="s">
        <v>154</v>
      </c>
      <c r="E95" s="1" t="s">
        <v>11</v>
      </c>
      <c r="G95" s="1">
        <v>0</v>
      </c>
      <c r="H95" s="1">
        <v>0</v>
      </c>
      <c r="I95" s="1">
        <v>376563</v>
      </c>
      <c r="J95" s="1">
        <v>8.0500000000000007</v>
      </c>
      <c r="L95" s="1" t="s">
        <v>15</v>
      </c>
    </row>
    <row r="96" spans="1:12" x14ac:dyDescent="0.25">
      <c r="A96" s="1">
        <v>986</v>
      </c>
      <c r="B96" s="1">
        <v>0</v>
      </c>
      <c r="C96" s="1">
        <v>1</v>
      </c>
      <c r="D96" s="1" t="s">
        <v>155</v>
      </c>
      <c r="E96" s="1" t="s">
        <v>11</v>
      </c>
      <c r="F96" s="1">
        <v>25</v>
      </c>
      <c r="G96" s="1">
        <v>0</v>
      </c>
      <c r="H96" s="1">
        <v>0</v>
      </c>
      <c r="I96" s="1">
        <v>13905</v>
      </c>
      <c r="J96" s="1">
        <v>26</v>
      </c>
      <c r="L96" s="1" t="s">
        <v>23</v>
      </c>
    </row>
    <row r="97" spans="1:12" x14ac:dyDescent="0.25">
      <c r="A97" s="1">
        <v>987</v>
      </c>
      <c r="B97" s="1">
        <v>0</v>
      </c>
      <c r="C97" s="1">
        <v>3</v>
      </c>
      <c r="D97" s="1" t="s">
        <v>156</v>
      </c>
      <c r="E97" s="1" t="s">
        <v>11</v>
      </c>
      <c r="F97" s="1">
        <v>25</v>
      </c>
      <c r="G97" s="1">
        <v>0</v>
      </c>
      <c r="H97" s="1">
        <v>0</v>
      </c>
      <c r="I97" s="1">
        <v>350033</v>
      </c>
      <c r="J97" s="1">
        <v>7.7957999999999998</v>
      </c>
      <c r="L97" s="1" t="s">
        <v>15</v>
      </c>
    </row>
    <row r="98" spans="1:12" x14ac:dyDescent="0.25">
      <c r="A98" s="1">
        <v>988</v>
      </c>
      <c r="B98" s="1">
        <v>1</v>
      </c>
      <c r="C98" s="1">
        <v>1</v>
      </c>
      <c r="D98" s="1" t="s">
        <v>157</v>
      </c>
      <c r="E98" s="1" t="s">
        <v>14</v>
      </c>
      <c r="F98" s="1">
        <v>76</v>
      </c>
      <c r="G98" s="1">
        <v>1</v>
      </c>
      <c r="H98" s="1">
        <v>0</v>
      </c>
      <c r="I98" s="1">
        <v>19877</v>
      </c>
      <c r="J98" s="1">
        <v>78.849999999999994</v>
      </c>
      <c r="K98" s="1" t="s">
        <v>158</v>
      </c>
      <c r="L98" s="1" t="s">
        <v>15</v>
      </c>
    </row>
    <row r="99" spans="1:12" x14ac:dyDescent="0.25">
      <c r="A99" s="1">
        <v>989</v>
      </c>
      <c r="B99" s="1">
        <v>0</v>
      </c>
      <c r="C99" s="1">
        <v>3</v>
      </c>
      <c r="D99" s="1" t="s">
        <v>159</v>
      </c>
      <c r="E99" s="1" t="s">
        <v>11</v>
      </c>
      <c r="F99" s="1">
        <v>29</v>
      </c>
      <c r="G99" s="1">
        <v>0</v>
      </c>
      <c r="H99" s="1">
        <v>0</v>
      </c>
      <c r="I99" s="1" t="s">
        <v>160</v>
      </c>
      <c r="J99" s="1">
        <v>7.9249999999999998</v>
      </c>
      <c r="L99" s="1" t="s">
        <v>15</v>
      </c>
    </row>
    <row r="100" spans="1:12" x14ac:dyDescent="0.25">
      <c r="A100" s="1">
        <v>990</v>
      </c>
      <c r="B100" s="1">
        <v>1</v>
      </c>
      <c r="C100" s="1">
        <v>3</v>
      </c>
      <c r="D100" s="1" t="s">
        <v>161</v>
      </c>
      <c r="E100" s="1" t="s">
        <v>14</v>
      </c>
      <c r="F100" s="1">
        <v>20</v>
      </c>
      <c r="G100" s="1">
        <v>0</v>
      </c>
      <c r="H100" s="1">
        <v>0</v>
      </c>
      <c r="I100" s="1">
        <v>347471</v>
      </c>
      <c r="J100" s="1">
        <v>7.8541999999999996</v>
      </c>
      <c r="L100" s="1" t="s">
        <v>15</v>
      </c>
    </row>
    <row r="101" spans="1:12" x14ac:dyDescent="0.25">
      <c r="A101" s="1">
        <v>991</v>
      </c>
      <c r="B101" s="1">
        <v>0</v>
      </c>
      <c r="C101" s="1">
        <v>3</v>
      </c>
      <c r="D101" s="1" t="s">
        <v>162</v>
      </c>
      <c r="E101" s="1" t="s">
        <v>11</v>
      </c>
      <c r="F101" s="1">
        <v>33</v>
      </c>
      <c r="G101" s="1">
        <v>0</v>
      </c>
      <c r="H101" s="1">
        <v>0</v>
      </c>
      <c r="I101" s="1" t="s">
        <v>163</v>
      </c>
      <c r="J101" s="1">
        <v>8.0500000000000007</v>
      </c>
      <c r="L101" s="1" t="s">
        <v>15</v>
      </c>
    </row>
    <row r="102" spans="1:12" x14ac:dyDescent="0.25">
      <c r="A102" s="1">
        <v>992</v>
      </c>
      <c r="B102" s="1">
        <v>1</v>
      </c>
      <c r="C102" s="1">
        <v>1</v>
      </c>
      <c r="D102" s="1" t="s">
        <v>164</v>
      </c>
      <c r="E102" s="1" t="s">
        <v>14</v>
      </c>
      <c r="F102" s="1">
        <v>43</v>
      </c>
      <c r="G102" s="1">
        <v>1</v>
      </c>
      <c r="H102" s="1">
        <v>0</v>
      </c>
      <c r="I102" s="1">
        <v>11778</v>
      </c>
      <c r="J102" s="1">
        <v>55.441699999999997</v>
      </c>
      <c r="K102" s="1" t="s">
        <v>165</v>
      </c>
      <c r="L102" s="1" t="s">
        <v>23</v>
      </c>
    </row>
    <row r="103" spans="1:12" x14ac:dyDescent="0.25">
      <c r="A103" s="1">
        <v>993</v>
      </c>
      <c r="B103" s="1">
        <v>0</v>
      </c>
      <c r="C103" s="1">
        <v>2</v>
      </c>
      <c r="D103" s="1" t="s">
        <v>166</v>
      </c>
      <c r="E103" s="1" t="s">
        <v>11</v>
      </c>
      <c r="F103" s="1">
        <v>27</v>
      </c>
      <c r="G103" s="1">
        <v>1</v>
      </c>
      <c r="H103" s="1">
        <v>0</v>
      </c>
      <c r="I103" s="1">
        <v>228414</v>
      </c>
      <c r="J103" s="1">
        <v>26</v>
      </c>
      <c r="L103" s="1" t="s">
        <v>15</v>
      </c>
    </row>
    <row r="104" spans="1:12" x14ac:dyDescent="0.25">
      <c r="A104" s="1">
        <v>994</v>
      </c>
      <c r="B104" s="1">
        <v>0</v>
      </c>
      <c r="C104" s="1">
        <v>3</v>
      </c>
      <c r="D104" s="1" t="s">
        <v>167</v>
      </c>
      <c r="E104" s="1" t="s">
        <v>11</v>
      </c>
      <c r="G104" s="1">
        <v>0</v>
      </c>
      <c r="H104" s="1">
        <v>0</v>
      </c>
      <c r="I104" s="1">
        <v>365235</v>
      </c>
      <c r="J104" s="1">
        <v>7.75</v>
      </c>
      <c r="L104" s="1" t="s">
        <v>12</v>
      </c>
    </row>
    <row r="105" spans="1:12" x14ac:dyDescent="0.25">
      <c r="A105" s="1">
        <v>995</v>
      </c>
      <c r="B105" s="1">
        <v>0</v>
      </c>
      <c r="C105" s="1">
        <v>3</v>
      </c>
      <c r="D105" s="1" t="s">
        <v>168</v>
      </c>
      <c r="E105" s="1" t="s">
        <v>11</v>
      </c>
      <c r="F105" s="1">
        <v>26</v>
      </c>
      <c r="G105" s="1">
        <v>0</v>
      </c>
      <c r="H105" s="1">
        <v>0</v>
      </c>
      <c r="I105" s="1">
        <v>347070</v>
      </c>
      <c r="J105" s="1">
        <v>7.7750000000000004</v>
      </c>
      <c r="L105" s="1" t="s">
        <v>15</v>
      </c>
    </row>
    <row r="106" spans="1:12" x14ac:dyDescent="0.25">
      <c r="A106" s="1">
        <v>996</v>
      </c>
      <c r="B106" s="1">
        <v>1</v>
      </c>
      <c r="C106" s="1">
        <v>3</v>
      </c>
      <c r="D106" s="1" t="s">
        <v>169</v>
      </c>
      <c r="E106" s="1" t="s">
        <v>14</v>
      </c>
      <c r="F106" s="1">
        <v>16</v>
      </c>
      <c r="G106" s="1">
        <v>1</v>
      </c>
      <c r="H106" s="1">
        <v>1</v>
      </c>
      <c r="I106" s="1">
        <v>2625</v>
      </c>
      <c r="J106" s="1">
        <v>8.5167000000000002</v>
      </c>
      <c r="L106" s="1" t="s">
        <v>23</v>
      </c>
    </row>
    <row r="107" spans="1:12" x14ac:dyDescent="0.25">
      <c r="A107" s="1">
        <v>997</v>
      </c>
      <c r="B107" s="1">
        <v>0</v>
      </c>
      <c r="C107" s="1">
        <v>3</v>
      </c>
      <c r="D107" s="1" t="s">
        <v>170</v>
      </c>
      <c r="E107" s="1" t="s">
        <v>11</v>
      </c>
      <c r="F107" s="1">
        <v>28</v>
      </c>
      <c r="G107" s="1">
        <v>0</v>
      </c>
      <c r="H107" s="1">
        <v>0</v>
      </c>
      <c r="I107" s="1" t="s">
        <v>171</v>
      </c>
      <c r="J107" s="1">
        <v>22.524999999999999</v>
      </c>
      <c r="L107" s="1" t="s">
        <v>15</v>
      </c>
    </row>
    <row r="108" spans="1:12" x14ac:dyDescent="0.25">
      <c r="A108" s="1">
        <v>998</v>
      </c>
      <c r="B108" s="1">
        <v>0</v>
      </c>
      <c r="C108" s="1">
        <v>3</v>
      </c>
      <c r="D108" s="1" t="s">
        <v>172</v>
      </c>
      <c r="E108" s="1" t="s">
        <v>11</v>
      </c>
      <c r="F108" s="1">
        <v>21</v>
      </c>
      <c r="G108" s="1">
        <v>0</v>
      </c>
      <c r="H108" s="1">
        <v>0</v>
      </c>
      <c r="I108" s="1">
        <v>330920</v>
      </c>
      <c r="J108" s="1">
        <v>7.8208000000000002</v>
      </c>
      <c r="L108" s="1" t="s">
        <v>12</v>
      </c>
    </row>
    <row r="109" spans="1:12" x14ac:dyDescent="0.25">
      <c r="A109" s="1">
        <v>999</v>
      </c>
      <c r="B109" s="1">
        <v>0</v>
      </c>
      <c r="C109" s="1">
        <v>3</v>
      </c>
      <c r="D109" s="1" t="s">
        <v>173</v>
      </c>
      <c r="E109" s="1" t="s">
        <v>11</v>
      </c>
      <c r="G109" s="1">
        <v>0</v>
      </c>
      <c r="H109" s="1">
        <v>0</v>
      </c>
      <c r="I109" s="1">
        <v>383162</v>
      </c>
      <c r="J109" s="1">
        <v>7.75</v>
      </c>
      <c r="L109" s="1" t="s">
        <v>12</v>
      </c>
    </row>
    <row r="110" spans="1:12" x14ac:dyDescent="0.25">
      <c r="A110" s="1">
        <v>1000</v>
      </c>
      <c r="B110" s="1">
        <v>0</v>
      </c>
      <c r="C110" s="1">
        <v>3</v>
      </c>
      <c r="D110" s="1" t="s">
        <v>174</v>
      </c>
      <c r="E110" s="1" t="s">
        <v>11</v>
      </c>
      <c r="G110" s="1">
        <v>0</v>
      </c>
      <c r="H110" s="1">
        <v>0</v>
      </c>
      <c r="I110" s="1">
        <v>3410</v>
      </c>
      <c r="J110" s="1">
        <v>8.7125000000000004</v>
      </c>
      <c r="L110" s="1" t="s">
        <v>15</v>
      </c>
    </row>
    <row r="111" spans="1:12" x14ac:dyDescent="0.25">
      <c r="A111" s="1">
        <v>1001</v>
      </c>
      <c r="B111" s="1">
        <v>0</v>
      </c>
      <c r="C111" s="1">
        <v>2</v>
      </c>
      <c r="D111" s="1" t="s">
        <v>175</v>
      </c>
      <c r="E111" s="1" t="s">
        <v>11</v>
      </c>
      <c r="F111" s="1">
        <v>18.5</v>
      </c>
      <c r="G111" s="1">
        <v>0</v>
      </c>
      <c r="H111" s="1">
        <v>0</v>
      </c>
      <c r="I111" s="1">
        <v>248734</v>
      </c>
      <c r="J111" s="1">
        <v>13</v>
      </c>
      <c r="K111" s="1" t="s">
        <v>176</v>
      </c>
      <c r="L111" s="1" t="s">
        <v>15</v>
      </c>
    </row>
    <row r="112" spans="1:12" x14ac:dyDescent="0.25">
      <c r="A112" s="1">
        <v>1002</v>
      </c>
      <c r="B112" s="1">
        <v>0</v>
      </c>
      <c r="C112" s="1">
        <v>2</v>
      </c>
      <c r="D112" s="1" t="s">
        <v>177</v>
      </c>
      <c r="E112" s="1" t="s">
        <v>11</v>
      </c>
      <c r="F112" s="1">
        <v>41</v>
      </c>
      <c r="G112" s="1">
        <v>0</v>
      </c>
      <c r="H112" s="1">
        <v>0</v>
      </c>
      <c r="I112" s="1">
        <v>237734</v>
      </c>
      <c r="J112" s="1">
        <v>15.0458</v>
      </c>
      <c r="L112" s="1" t="s">
        <v>23</v>
      </c>
    </row>
    <row r="113" spans="1:12" x14ac:dyDescent="0.25">
      <c r="A113" s="1">
        <v>1003</v>
      </c>
      <c r="B113" s="1">
        <v>1</v>
      </c>
      <c r="C113" s="1">
        <v>3</v>
      </c>
      <c r="D113" s="1" t="s">
        <v>178</v>
      </c>
      <c r="E113" s="1" t="s">
        <v>14</v>
      </c>
      <c r="G113" s="1">
        <v>0</v>
      </c>
      <c r="H113" s="1">
        <v>0</v>
      </c>
      <c r="I113" s="1">
        <v>330968</v>
      </c>
      <c r="J113" s="1">
        <v>7.7792000000000003</v>
      </c>
      <c r="L113" s="1" t="s">
        <v>12</v>
      </c>
    </row>
    <row r="114" spans="1:12" x14ac:dyDescent="0.25">
      <c r="A114" s="1">
        <v>1004</v>
      </c>
      <c r="B114" s="1">
        <v>1</v>
      </c>
      <c r="C114" s="1">
        <v>1</v>
      </c>
      <c r="D114" s="1" t="s">
        <v>179</v>
      </c>
      <c r="E114" s="1" t="s">
        <v>14</v>
      </c>
      <c r="F114" s="1">
        <v>36</v>
      </c>
      <c r="G114" s="1">
        <v>0</v>
      </c>
      <c r="H114" s="1">
        <v>0</v>
      </c>
      <c r="I114" s="1" t="s">
        <v>180</v>
      </c>
      <c r="J114" s="1">
        <v>31.679200000000002</v>
      </c>
      <c r="K114" s="1" t="s">
        <v>181</v>
      </c>
      <c r="L114" s="1" t="s">
        <v>23</v>
      </c>
    </row>
    <row r="115" spans="1:12" x14ac:dyDescent="0.25">
      <c r="A115" s="1">
        <v>1005</v>
      </c>
      <c r="B115" s="1">
        <v>1</v>
      </c>
      <c r="C115" s="1">
        <v>3</v>
      </c>
      <c r="D115" s="1" t="s">
        <v>182</v>
      </c>
      <c r="E115" s="1" t="s">
        <v>14</v>
      </c>
      <c r="F115" s="1">
        <v>18.5</v>
      </c>
      <c r="G115" s="1">
        <v>0</v>
      </c>
      <c r="H115" s="1">
        <v>0</v>
      </c>
      <c r="I115" s="1">
        <v>329944</v>
      </c>
      <c r="J115" s="1">
        <v>7.2832999999999997</v>
      </c>
      <c r="L115" s="1" t="s">
        <v>12</v>
      </c>
    </row>
    <row r="116" spans="1:12" x14ac:dyDescent="0.25">
      <c r="A116" s="1">
        <v>1006</v>
      </c>
      <c r="B116" s="1">
        <v>1</v>
      </c>
      <c r="C116" s="1">
        <v>1</v>
      </c>
      <c r="D116" s="1" t="s">
        <v>183</v>
      </c>
      <c r="E116" s="1" t="s">
        <v>14</v>
      </c>
      <c r="F116" s="1">
        <v>63</v>
      </c>
      <c r="G116" s="1">
        <v>1</v>
      </c>
      <c r="H116" s="1">
        <v>0</v>
      </c>
      <c r="I116" s="1" t="s">
        <v>138</v>
      </c>
      <c r="J116" s="1">
        <v>221.7792</v>
      </c>
      <c r="K116" s="1" t="s">
        <v>139</v>
      </c>
      <c r="L116" s="1" t="s">
        <v>15</v>
      </c>
    </row>
    <row r="117" spans="1:12" x14ac:dyDescent="0.25">
      <c r="A117" s="1">
        <v>1007</v>
      </c>
      <c r="B117" s="1">
        <v>0</v>
      </c>
      <c r="C117" s="1">
        <v>3</v>
      </c>
      <c r="D117" s="1" t="s">
        <v>184</v>
      </c>
      <c r="E117" s="1" t="s">
        <v>11</v>
      </c>
      <c r="F117" s="1">
        <v>18</v>
      </c>
      <c r="G117" s="1">
        <v>1</v>
      </c>
      <c r="H117" s="1">
        <v>0</v>
      </c>
      <c r="I117" s="1">
        <v>2680</v>
      </c>
      <c r="J117" s="1">
        <v>14.4542</v>
      </c>
      <c r="L117" s="1" t="s">
        <v>23</v>
      </c>
    </row>
    <row r="118" spans="1:12" x14ac:dyDescent="0.25">
      <c r="A118" s="1">
        <v>1008</v>
      </c>
      <c r="B118" s="1">
        <v>0</v>
      </c>
      <c r="C118" s="1">
        <v>3</v>
      </c>
      <c r="D118" s="1" t="s">
        <v>185</v>
      </c>
      <c r="E118" s="1" t="s">
        <v>11</v>
      </c>
      <c r="G118" s="1">
        <v>0</v>
      </c>
      <c r="H118" s="1">
        <v>0</v>
      </c>
      <c r="I118" s="1">
        <v>2681</v>
      </c>
      <c r="J118" s="1">
        <v>6.4375</v>
      </c>
      <c r="L118" s="1" t="s">
        <v>23</v>
      </c>
    </row>
    <row r="119" spans="1:12" x14ac:dyDescent="0.25">
      <c r="A119" s="1">
        <v>1009</v>
      </c>
      <c r="B119" s="1">
        <v>1</v>
      </c>
      <c r="C119" s="1">
        <v>3</v>
      </c>
      <c r="D119" s="1" t="s">
        <v>186</v>
      </c>
      <c r="E119" s="1" t="s">
        <v>14</v>
      </c>
      <c r="F119" s="1">
        <v>1</v>
      </c>
      <c r="G119" s="1">
        <v>1</v>
      </c>
      <c r="H119" s="1">
        <v>1</v>
      </c>
      <c r="I119" s="1" t="s">
        <v>187</v>
      </c>
      <c r="J119" s="1">
        <v>16.7</v>
      </c>
      <c r="K119" s="1" t="s">
        <v>188</v>
      </c>
      <c r="L119" s="1" t="s">
        <v>15</v>
      </c>
    </row>
    <row r="120" spans="1:12" x14ac:dyDescent="0.25">
      <c r="A120" s="1">
        <v>1010</v>
      </c>
      <c r="B120" s="1">
        <v>0</v>
      </c>
      <c r="C120" s="1">
        <v>1</v>
      </c>
      <c r="D120" s="1" t="s">
        <v>189</v>
      </c>
      <c r="E120" s="1" t="s">
        <v>11</v>
      </c>
      <c r="F120" s="1">
        <v>36</v>
      </c>
      <c r="G120" s="1">
        <v>0</v>
      </c>
      <c r="H120" s="1">
        <v>0</v>
      </c>
      <c r="I120" s="1">
        <v>13050</v>
      </c>
      <c r="J120" s="1">
        <v>75.241699999999994</v>
      </c>
      <c r="K120" s="1" t="s">
        <v>190</v>
      </c>
      <c r="L120" s="1" t="s">
        <v>23</v>
      </c>
    </row>
    <row r="121" spans="1:12" x14ac:dyDescent="0.25">
      <c r="A121" s="1">
        <v>1011</v>
      </c>
      <c r="B121" s="1">
        <v>1</v>
      </c>
      <c r="C121" s="1">
        <v>2</v>
      </c>
      <c r="D121" s="1" t="s">
        <v>191</v>
      </c>
      <c r="E121" s="1" t="s">
        <v>14</v>
      </c>
      <c r="F121" s="1">
        <v>29</v>
      </c>
      <c r="G121" s="1">
        <v>1</v>
      </c>
      <c r="H121" s="1">
        <v>0</v>
      </c>
      <c r="I121" s="1" t="s">
        <v>192</v>
      </c>
      <c r="J121" s="1">
        <v>26</v>
      </c>
      <c r="L121" s="1" t="s">
        <v>15</v>
      </c>
    </row>
    <row r="122" spans="1:12" x14ac:dyDescent="0.25">
      <c r="A122" s="1">
        <v>1012</v>
      </c>
      <c r="B122" s="1">
        <v>1</v>
      </c>
      <c r="C122" s="1">
        <v>2</v>
      </c>
      <c r="D122" s="1" t="s">
        <v>193</v>
      </c>
      <c r="E122" s="1" t="s">
        <v>14</v>
      </c>
      <c r="F122" s="1">
        <v>12</v>
      </c>
      <c r="G122" s="1">
        <v>0</v>
      </c>
      <c r="H122" s="1">
        <v>0</v>
      </c>
      <c r="I122" s="1" t="s">
        <v>194</v>
      </c>
      <c r="J122" s="1">
        <v>15.75</v>
      </c>
      <c r="L122" s="1" t="s">
        <v>15</v>
      </c>
    </row>
    <row r="123" spans="1:12" x14ac:dyDescent="0.25">
      <c r="A123" s="1">
        <v>1013</v>
      </c>
      <c r="B123" s="1">
        <v>0</v>
      </c>
      <c r="C123" s="1">
        <v>3</v>
      </c>
      <c r="D123" s="1" t="s">
        <v>195</v>
      </c>
      <c r="E123" s="1" t="s">
        <v>11</v>
      </c>
      <c r="G123" s="1">
        <v>1</v>
      </c>
      <c r="H123" s="1">
        <v>0</v>
      </c>
      <c r="I123" s="1">
        <v>367227</v>
      </c>
      <c r="J123" s="1">
        <v>7.75</v>
      </c>
      <c r="L123" s="1" t="s">
        <v>12</v>
      </c>
    </row>
    <row r="124" spans="1:12" x14ac:dyDescent="0.25">
      <c r="A124" s="1">
        <v>1014</v>
      </c>
      <c r="B124" s="1">
        <v>1</v>
      </c>
      <c r="C124" s="1">
        <v>1</v>
      </c>
      <c r="D124" s="1" t="s">
        <v>196</v>
      </c>
      <c r="E124" s="1" t="s">
        <v>14</v>
      </c>
      <c r="F124" s="1">
        <v>35</v>
      </c>
      <c r="G124" s="1">
        <v>1</v>
      </c>
      <c r="H124" s="1">
        <v>0</v>
      </c>
      <c r="I124" s="1">
        <v>13236</v>
      </c>
      <c r="J124" s="1">
        <v>57.75</v>
      </c>
      <c r="K124" s="1" t="s">
        <v>197</v>
      </c>
      <c r="L124" s="1" t="s">
        <v>23</v>
      </c>
    </row>
    <row r="125" spans="1:12" x14ac:dyDescent="0.25">
      <c r="A125" s="1">
        <v>1015</v>
      </c>
      <c r="B125" s="1">
        <v>0</v>
      </c>
      <c r="C125" s="1">
        <v>3</v>
      </c>
      <c r="D125" s="1" t="s">
        <v>198</v>
      </c>
      <c r="E125" s="1" t="s">
        <v>11</v>
      </c>
      <c r="F125" s="1">
        <v>28</v>
      </c>
      <c r="G125" s="1">
        <v>0</v>
      </c>
      <c r="H125" s="1">
        <v>0</v>
      </c>
      <c r="I125" s="1">
        <v>392095</v>
      </c>
      <c r="J125" s="1">
        <v>7.25</v>
      </c>
      <c r="L125" s="1" t="s">
        <v>15</v>
      </c>
    </row>
    <row r="126" spans="1:12" x14ac:dyDescent="0.25">
      <c r="A126" s="1">
        <v>1016</v>
      </c>
      <c r="B126" s="1">
        <v>0</v>
      </c>
      <c r="C126" s="1">
        <v>3</v>
      </c>
      <c r="D126" s="1" t="s">
        <v>199</v>
      </c>
      <c r="E126" s="1" t="s">
        <v>11</v>
      </c>
      <c r="G126" s="1">
        <v>0</v>
      </c>
      <c r="H126" s="1">
        <v>0</v>
      </c>
      <c r="I126" s="1">
        <v>368783</v>
      </c>
      <c r="J126" s="1">
        <v>7.75</v>
      </c>
      <c r="L126" s="1" t="s">
        <v>12</v>
      </c>
    </row>
    <row r="127" spans="1:12" x14ac:dyDescent="0.25">
      <c r="A127" s="1">
        <v>1017</v>
      </c>
      <c r="B127" s="1">
        <v>1</v>
      </c>
      <c r="C127" s="1">
        <v>3</v>
      </c>
      <c r="D127" s="1" t="s">
        <v>200</v>
      </c>
      <c r="E127" s="1" t="s">
        <v>14</v>
      </c>
      <c r="F127" s="1">
        <v>17</v>
      </c>
      <c r="G127" s="1">
        <v>0</v>
      </c>
      <c r="H127" s="1">
        <v>1</v>
      </c>
      <c r="I127" s="1">
        <v>371362</v>
      </c>
      <c r="J127" s="1">
        <v>16.100000000000001</v>
      </c>
      <c r="L127" s="1" t="s">
        <v>15</v>
      </c>
    </row>
    <row r="128" spans="1:12" x14ac:dyDescent="0.25">
      <c r="A128" s="1">
        <v>1018</v>
      </c>
      <c r="B128" s="1">
        <v>0</v>
      </c>
      <c r="C128" s="1">
        <v>3</v>
      </c>
      <c r="D128" s="1" t="s">
        <v>201</v>
      </c>
      <c r="E128" s="1" t="s">
        <v>11</v>
      </c>
      <c r="F128" s="1">
        <v>22</v>
      </c>
      <c r="G128" s="1">
        <v>0</v>
      </c>
      <c r="H128" s="1">
        <v>0</v>
      </c>
      <c r="I128" s="1">
        <v>350045</v>
      </c>
      <c r="J128" s="1">
        <v>7.7957999999999998</v>
      </c>
      <c r="L128" s="1" t="s">
        <v>15</v>
      </c>
    </row>
    <row r="129" spans="1:12" x14ac:dyDescent="0.25">
      <c r="A129" s="1">
        <v>1019</v>
      </c>
      <c r="B129" s="1">
        <v>1</v>
      </c>
      <c r="C129" s="1">
        <v>3</v>
      </c>
      <c r="D129" s="1" t="s">
        <v>202</v>
      </c>
      <c r="E129" s="1" t="s">
        <v>14</v>
      </c>
      <c r="G129" s="1">
        <v>2</v>
      </c>
      <c r="H129" s="1">
        <v>0</v>
      </c>
      <c r="I129" s="1">
        <v>367226</v>
      </c>
      <c r="J129" s="1">
        <v>23.25</v>
      </c>
      <c r="L129" s="1" t="s">
        <v>12</v>
      </c>
    </row>
    <row r="130" spans="1:12" x14ac:dyDescent="0.25">
      <c r="A130" s="1">
        <v>1020</v>
      </c>
      <c r="B130" s="1">
        <v>0</v>
      </c>
      <c r="C130" s="1">
        <v>2</v>
      </c>
      <c r="D130" s="1" t="s">
        <v>203</v>
      </c>
      <c r="E130" s="1" t="s">
        <v>11</v>
      </c>
      <c r="F130" s="1">
        <v>42</v>
      </c>
      <c r="G130" s="1">
        <v>0</v>
      </c>
      <c r="H130" s="1">
        <v>0</v>
      </c>
      <c r="I130" s="1">
        <v>211535</v>
      </c>
      <c r="J130" s="1">
        <v>13</v>
      </c>
      <c r="L130" s="1" t="s">
        <v>15</v>
      </c>
    </row>
    <row r="131" spans="1:12" x14ac:dyDescent="0.25">
      <c r="A131" s="1">
        <v>1021</v>
      </c>
      <c r="B131" s="1">
        <v>0</v>
      </c>
      <c r="C131" s="1">
        <v>3</v>
      </c>
      <c r="D131" s="1" t="s">
        <v>204</v>
      </c>
      <c r="E131" s="1" t="s">
        <v>11</v>
      </c>
      <c r="F131" s="1">
        <v>24</v>
      </c>
      <c r="G131" s="1">
        <v>0</v>
      </c>
      <c r="H131" s="1">
        <v>0</v>
      </c>
      <c r="I131" s="1">
        <v>342441</v>
      </c>
      <c r="J131" s="1">
        <v>8.0500000000000007</v>
      </c>
      <c r="L131" s="1" t="s">
        <v>15</v>
      </c>
    </row>
    <row r="132" spans="1:12" x14ac:dyDescent="0.25">
      <c r="A132" s="1">
        <v>1022</v>
      </c>
      <c r="B132" s="1">
        <v>0</v>
      </c>
      <c r="C132" s="1">
        <v>3</v>
      </c>
      <c r="D132" s="1" t="s">
        <v>205</v>
      </c>
      <c r="E132" s="1" t="s">
        <v>11</v>
      </c>
      <c r="F132" s="1">
        <v>32</v>
      </c>
      <c r="G132" s="1">
        <v>0</v>
      </c>
      <c r="H132" s="1">
        <v>0</v>
      </c>
      <c r="I132" s="1" t="s">
        <v>206</v>
      </c>
      <c r="J132" s="1">
        <v>8.0500000000000007</v>
      </c>
      <c r="L132" s="1" t="s">
        <v>15</v>
      </c>
    </row>
    <row r="133" spans="1:12" x14ac:dyDescent="0.25">
      <c r="A133" s="1">
        <v>1023</v>
      </c>
      <c r="B133" s="1">
        <v>0</v>
      </c>
      <c r="C133" s="1">
        <v>1</v>
      </c>
      <c r="D133" s="1" t="s">
        <v>207</v>
      </c>
      <c r="E133" s="1" t="s">
        <v>11</v>
      </c>
      <c r="F133" s="1">
        <v>53</v>
      </c>
      <c r="G133" s="1">
        <v>0</v>
      </c>
      <c r="H133" s="1">
        <v>0</v>
      </c>
      <c r="I133" s="1">
        <v>113780</v>
      </c>
      <c r="J133" s="1">
        <v>28.5</v>
      </c>
      <c r="K133" s="1" t="s">
        <v>208</v>
      </c>
      <c r="L133" s="1" t="s">
        <v>23</v>
      </c>
    </row>
    <row r="134" spans="1:12" x14ac:dyDescent="0.25">
      <c r="A134" s="1">
        <v>1024</v>
      </c>
      <c r="B134" s="1">
        <v>1</v>
      </c>
      <c r="C134" s="1">
        <v>3</v>
      </c>
      <c r="D134" s="1" t="s">
        <v>209</v>
      </c>
      <c r="E134" s="1" t="s">
        <v>14</v>
      </c>
      <c r="G134" s="1">
        <v>0</v>
      </c>
      <c r="H134" s="1">
        <v>4</v>
      </c>
      <c r="I134" s="1">
        <v>4133</v>
      </c>
      <c r="J134" s="1">
        <v>25.466699999999999</v>
      </c>
      <c r="L134" s="1" t="s">
        <v>15</v>
      </c>
    </row>
    <row r="135" spans="1:12" x14ac:dyDescent="0.25">
      <c r="A135" s="1">
        <v>1025</v>
      </c>
      <c r="B135" s="1">
        <v>0</v>
      </c>
      <c r="C135" s="1">
        <v>3</v>
      </c>
      <c r="D135" s="1" t="s">
        <v>210</v>
      </c>
      <c r="E135" s="1" t="s">
        <v>11</v>
      </c>
      <c r="G135" s="1">
        <v>1</v>
      </c>
      <c r="H135" s="1">
        <v>0</v>
      </c>
      <c r="I135" s="1">
        <v>2621</v>
      </c>
      <c r="J135" s="1">
        <v>6.4375</v>
      </c>
      <c r="L135" s="1" t="s">
        <v>23</v>
      </c>
    </row>
    <row r="136" spans="1:12" x14ac:dyDescent="0.25">
      <c r="A136" s="1">
        <v>1026</v>
      </c>
      <c r="B136" s="1">
        <v>0</v>
      </c>
      <c r="C136" s="1">
        <v>3</v>
      </c>
      <c r="D136" s="1" t="s">
        <v>211</v>
      </c>
      <c r="E136" s="1" t="s">
        <v>11</v>
      </c>
      <c r="F136" s="1">
        <v>43</v>
      </c>
      <c r="G136" s="1">
        <v>0</v>
      </c>
      <c r="H136" s="1">
        <v>0</v>
      </c>
      <c r="I136" s="1">
        <v>349226</v>
      </c>
      <c r="J136" s="1">
        <v>7.8958000000000004</v>
      </c>
      <c r="L136" s="1" t="s">
        <v>15</v>
      </c>
    </row>
    <row r="137" spans="1:12" x14ac:dyDescent="0.25">
      <c r="A137" s="1">
        <v>1027</v>
      </c>
      <c r="B137" s="1">
        <v>0</v>
      </c>
      <c r="C137" s="1">
        <v>3</v>
      </c>
      <c r="D137" s="1" t="s">
        <v>212</v>
      </c>
      <c r="E137" s="1" t="s">
        <v>11</v>
      </c>
      <c r="F137" s="1">
        <v>24</v>
      </c>
      <c r="G137" s="1">
        <v>0</v>
      </c>
      <c r="H137" s="1">
        <v>0</v>
      </c>
      <c r="I137" s="1">
        <v>350409</v>
      </c>
      <c r="J137" s="1">
        <v>7.8541999999999996</v>
      </c>
      <c r="L137" s="1" t="s">
        <v>15</v>
      </c>
    </row>
    <row r="138" spans="1:12" x14ac:dyDescent="0.25">
      <c r="A138" s="1">
        <v>1028</v>
      </c>
      <c r="B138" s="1">
        <v>0</v>
      </c>
      <c r="C138" s="1">
        <v>3</v>
      </c>
      <c r="D138" s="1" t="s">
        <v>213</v>
      </c>
      <c r="E138" s="1" t="s">
        <v>11</v>
      </c>
      <c r="F138" s="1">
        <v>26.5</v>
      </c>
      <c r="G138" s="1">
        <v>0</v>
      </c>
      <c r="H138" s="1">
        <v>0</v>
      </c>
      <c r="I138" s="1">
        <v>2656</v>
      </c>
      <c r="J138" s="1">
        <v>7.2249999999999996</v>
      </c>
      <c r="L138" s="1" t="s">
        <v>23</v>
      </c>
    </row>
    <row r="139" spans="1:12" x14ac:dyDescent="0.25">
      <c r="A139" s="1">
        <v>1029</v>
      </c>
      <c r="B139" s="1">
        <v>0</v>
      </c>
      <c r="C139" s="1">
        <v>2</v>
      </c>
      <c r="D139" s="1" t="s">
        <v>214</v>
      </c>
      <c r="E139" s="1" t="s">
        <v>11</v>
      </c>
      <c r="F139" s="1">
        <v>26</v>
      </c>
      <c r="G139" s="1">
        <v>0</v>
      </c>
      <c r="H139" s="1">
        <v>0</v>
      </c>
      <c r="I139" s="1">
        <v>248659</v>
      </c>
      <c r="J139" s="1">
        <v>13</v>
      </c>
      <c r="L139" s="1" t="s">
        <v>15</v>
      </c>
    </row>
    <row r="140" spans="1:12" x14ac:dyDescent="0.25">
      <c r="A140" s="1">
        <v>1030</v>
      </c>
      <c r="B140" s="1">
        <v>1</v>
      </c>
      <c r="C140" s="1">
        <v>3</v>
      </c>
      <c r="D140" s="1" t="s">
        <v>215</v>
      </c>
      <c r="E140" s="1" t="s">
        <v>14</v>
      </c>
      <c r="F140" s="1">
        <v>23</v>
      </c>
      <c r="G140" s="1">
        <v>0</v>
      </c>
      <c r="H140" s="1">
        <v>0</v>
      </c>
      <c r="I140" s="1" t="s">
        <v>216</v>
      </c>
      <c r="J140" s="1">
        <v>8.0500000000000007</v>
      </c>
      <c r="L140" s="1" t="s">
        <v>15</v>
      </c>
    </row>
    <row r="141" spans="1:12" x14ac:dyDescent="0.25">
      <c r="A141" s="1">
        <v>1031</v>
      </c>
      <c r="B141" s="1">
        <v>0</v>
      </c>
      <c r="C141" s="1">
        <v>3</v>
      </c>
      <c r="D141" s="1" t="s">
        <v>217</v>
      </c>
      <c r="E141" s="1" t="s">
        <v>11</v>
      </c>
      <c r="F141" s="1">
        <v>40</v>
      </c>
      <c r="G141" s="1">
        <v>1</v>
      </c>
      <c r="H141" s="1">
        <v>6</v>
      </c>
      <c r="I141" s="1" t="s">
        <v>218</v>
      </c>
      <c r="J141" s="1">
        <v>46.9</v>
      </c>
      <c r="L141" s="1" t="s">
        <v>15</v>
      </c>
    </row>
    <row r="142" spans="1:12" x14ac:dyDescent="0.25">
      <c r="A142" s="1">
        <v>1032</v>
      </c>
      <c r="B142" s="1">
        <v>1</v>
      </c>
      <c r="C142" s="1">
        <v>3</v>
      </c>
      <c r="D142" s="1" t="s">
        <v>219</v>
      </c>
      <c r="E142" s="1" t="s">
        <v>14</v>
      </c>
      <c r="F142" s="1">
        <v>10</v>
      </c>
      <c r="G142" s="1">
        <v>5</v>
      </c>
      <c r="H142" s="1">
        <v>2</v>
      </c>
      <c r="I142" s="1" t="s">
        <v>218</v>
      </c>
      <c r="J142" s="1">
        <v>46.9</v>
      </c>
      <c r="L142" s="1" t="s">
        <v>15</v>
      </c>
    </row>
    <row r="143" spans="1:12" x14ac:dyDescent="0.25">
      <c r="A143" s="1">
        <v>1033</v>
      </c>
      <c r="B143" s="1">
        <v>1</v>
      </c>
      <c r="C143" s="1">
        <v>1</v>
      </c>
      <c r="D143" s="1" t="s">
        <v>220</v>
      </c>
      <c r="E143" s="1" t="s">
        <v>14</v>
      </c>
      <c r="F143" s="1">
        <v>33</v>
      </c>
      <c r="G143" s="1">
        <v>0</v>
      </c>
      <c r="H143" s="1">
        <v>0</v>
      </c>
      <c r="I143" s="1">
        <v>113781</v>
      </c>
      <c r="J143" s="1">
        <v>151.55000000000001</v>
      </c>
      <c r="L143" s="1" t="s">
        <v>15</v>
      </c>
    </row>
    <row r="144" spans="1:12" x14ac:dyDescent="0.25">
      <c r="A144" s="1">
        <v>1034</v>
      </c>
      <c r="B144" s="1">
        <v>0</v>
      </c>
      <c r="C144" s="1">
        <v>1</v>
      </c>
      <c r="D144" s="1" t="s">
        <v>221</v>
      </c>
      <c r="E144" s="1" t="s">
        <v>11</v>
      </c>
      <c r="F144" s="1">
        <v>61</v>
      </c>
      <c r="G144" s="1">
        <v>1</v>
      </c>
      <c r="H144" s="1">
        <v>3</v>
      </c>
      <c r="I144" s="1" t="s">
        <v>50</v>
      </c>
      <c r="J144" s="1">
        <v>262.375</v>
      </c>
      <c r="K144" s="1" t="s">
        <v>51</v>
      </c>
      <c r="L144" s="1" t="s">
        <v>23</v>
      </c>
    </row>
    <row r="145" spans="1:12" x14ac:dyDescent="0.25">
      <c r="A145" s="1">
        <v>1035</v>
      </c>
      <c r="B145" s="1">
        <v>0</v>
      </c>
      <c r="C145" s="1">
        <v>2</v>
      </c>
      <c r="D145" s="1" t="s">
        <v>222</v>
      </c>
      <c r="E145" s="1" t="s">
        <v>11</v>
      </c>
      <c r="F145" s="1">
        <v>28</v>
      </c>
      <c r="G145" s="1">
        <v>0</v>
      </c>
      <c r="H145" s="1">
        <v>0</v>
      </c>
      <c r="I145" s="1">
        <v>244358</v>
      </c>
      <c r="J145" s="1">
        <v>26</v>
      </c>
      <c r="L145" s="1" t="s">
        <v>15</v>
      </c>
    </row>
    <row r="146" spans="1:12" x14ac:dyDescent="0.25">
      <c r="A146" s="1">
        <v>1036</v>
      </c>
      <c r="B146" s="1">
        <v>0</v>
      </c>
      <c r="C146" s="1">
        <v>1</v>
      </c>
      <c r="D146" s="1" t="s">
        <v>223</v>
      </c>
      <c r="E146" s="1" t="s">
        <v>11</v>
      </c>
      <c r="F146" s="1">
        <v>42</v>
      </c>
      <c r="G146" s="1">
        <v>0</v>
      </c>
      <c r="H146" s="1">
        <v>0</v>
      </c>
      <c r="I146" s="1">
        <v>17475</v>
      </c>
      <c r="J146" s="1">
        <v>26.55</v>
      </c>
      <c r="L146" s="1" t="s">
        <v>15</v>
      </c>
    </row>
    <row r="147" spans="1:12" x14ac:dyDescent="0.25">
      <c r="A147" s="1">
        <v>1037</v>
      </c>
      <c r="B147" s="1">
        <v>0</v>
      </c>
      <c r="C147" s="1">
        <v>3</v>
      </c>
      <c r="D147" s="1" t="s">
        <v>224</v>
      </c>
      <c r="E147" s="1" t="s">
        <v>11</v>
      </c>
      <c r="F147" s="1">
        <v>31</v>
      </c>
      <c r="G147" s="1">
        <v>3</v>
      </c>
      <c r="H147" s="1">
        <v>0</v>
      </c>
      <c r="I147" s="1">
        <v>345763</v>
      </c>
      <c r="J147" s="1">
        <v>18</v>
      </c>
      <c r="L147" s="1" t="s">
        <v>15</v>
      </c>
    </row>
    <row r="148" spans="1:12" x14ac:dyDescent="0.25">
      <c r="A148" s="1">
        <v>1038</v>
      </c>
      <c r="B148" s="1">
        <v>0</v>
      </c>
      <c r="C148" s="1">
        <v>1</v>
      </c>
      <c r="D148" s="1" t="s">
        <v>225</v>
      </c>
      <c r="E148" s="1" t="s">
        <v>11</v>
      </c>
      <c r="G148" s="1">
        <v>0</v>
      </c>
      <c r="H148" s="1">
        <v>0</v>
      </c>
      <c r="I148" s="1">
        <v>17463</v>
      </c>
      <c r="J148" s="1">
        <v>51.862499999999997</v>
      </c>
      <c r="K148" s="1" t="s">
        <v>226</v>
      </c>
      <c r="L148" s="1" t="s">
        <v>15</v>
      </c>
    </row>
    <row r="149" spans="1:12" x14ac:dyDescent="0.25">
      <c r="A149" s="1">
        <v>1039</v>
      </c>
      <c r="B149" s="1">
        <v>0</v>
      </c>
      <c r="C149" s="1">
        <v>3</v>
      </c>
      <c r="D149" s="1" t="s">
        <v>227</v>
      </c>
      <c r="E149" s="1" t="s">
        <v>11</v>
      </c>
      <c r="F149" s="1">
        <v>22</v>
      </c>
      <c r="G149" s="1">
        <v>0</v>
      </c>
      <c r="H149" s="1">
        <v>0</v>
      </c>
      <c r="I149" s="1" t="s">
        <v>228</v>
      </c>
      <c r="J149" s="1">
        <v>8.0500000000000007</v>
      </c>
      <c r="L149" s="1" t="s">
        <v>15</v>
      </c>
    </row>
    <row r="150" spans="1:12" x14ac:dyDescent="0.25">
      <c r="A150" s="1">
        <v>1040</v>
      </c>
      <c r="B150" s="1">
        <v>0</v>
      </c>
      <c r="C150" s="1">
        <v>1</v>
      </c>
      <c r="D150" s="1" t="s">
        <v>229</v>
      </c>
      <c r="E150" s="1" t="s">
        <v>11</v>
      </c>
      <c r="G150" s="1">
        <v>0</v>
      </c>
      <c r="H150" s="1">
        <v>0</v>
      </c>
      <c r="I150" s="1">
        <v>113791</v>
      </c>
      <c r="J150" s="1">
        <v>26.55</v>
      </c>
      <c r="L150" s="1" t="s">
        <v>15</v>
      </c>
    </row>
    <row r="151" spans="1:12" x14ac:dyDescent="0.25">
      <c r="A151" s="1">
        <v>1041</v>
      </c>
      <c r="B151" s="1">
        <v>0</v>
      </c>
      <c r="C151" s="1">
        <v>2</v>
      </c>
      <c r="D151" s="1" t="s">
        <v>230</v>
      </c>
      <c r="E151" s="1" t="s">
        <v>11</v>
      </c>
      <c r="F151" s="1">
        <v>30</v>
      </c>
      <c r="G151" s="1">
        <v>1</v>
      </c>
      <c r="H151" s="1">
        <v>1</v>
      </c>
      <c r="I151" s="1">
        <v>250651</v>
      </c>
      <c r="J151" s="1">
        <v>26</v>
      </c>
      <c r="L151" s="1" t="s">
        <v>15</v>
      </c>
    </row>
    <row r="152" spans="1:12" x14ac:dyDescent="0.25">
      <c r="A152" s="1">
        <v>1042</v>
      </c>
      <c r="B152" s="1">
        <v>1</v>
      </c>
      <c r="C152" s="1">
        <v>1</v>
      </c>
      <c r="D152" s="1" t="s">
        <v>231</v>
      </c>
      <c r="E152" s="1" t="s">
        <v>14</v>
      </c>
      <c r="F152" s="1">
        <v>23</v>
      </c>
      <c r="G152" s="1">
        <v>0</v>
      </c>
      <c r="H152" s="1">
        <v>1</v>
      </c>
      <c r="I152" s="1">
        <v>11767</v>
      </c>
      <c r="J152" s="1">
        <v>83.158299999999997</v>
      </c>
      <c r="K152" s="1" t="s">
        <v>232</v>
      </c>
      <c r="L152" s="1" t="s">
        <v>23</v>
      </c>
    </row>
    <row r="153" spans="1:12" x14ac:dyDescent="0.25">
      <c r="A153" s="1">
        <v>1043</v>
      </c>
      <c r="B153" s="1">
        <v>0</v>
      </c>
      <c r="C153" s="1">
        <v>3</v>
      </c>
      <c r="D153" s="1" t="s">
        <v>233</v>
      </c>
      <c r="E153" s="1" t="s">
        <v>11</v>
      </c>
      <c r="G153" s="1">
        <v>0</v>
      </c>
      <c r="H153" s="1">
        <v>0</v>
      </c>
      <c r="I153" s="1">
        <v>349255</v>
      </c>
      <c r="J153" s="1">
        <v>7.8958000000000004</v>
      </c>
      <c r="L153" s="1" t="s">
        <v>23</v>
      </c>
    </row>
    <row r="154" spans="1:12" x14ac:dyDescent="0.25">
      <c r="A154" s="1">
        <v>1044</v>
      </c>
      <c r="B154" s="1">
        <v>0</v>
      </c>
      <c r="C154" s="1">
        <v>3</v>
      </c>
      <c r="D154" s="1" t="s">
        <v>234</v>
      </c>
      <c r="E154" s="1" t="s">
        <v>11</v>
      </c>
      <c r="F154" s="1">
        <v>60.5</v>
      </c>
      <c r="G154" s="1">
        <v>0</v>
      </c>
      <c r="H154" s="1">
        <v>0</v>
      </c>
      <c r="I154" s="1">
        <v>3701</v>
      </c>
      <c r="L154" s="1" t="s">
        <v>15</v>
      </c>
    </row>
    <row r="155" spans="1:12" x14ac:dyDescent="0.25">
      <c r="A155" s="1">
        <v>1045</v>
      </c>
      <c r="B155" s="1">
        <v>1</v>
      </c>
      <c r="C155" s="1">
        <v>3</v>
      </c>
      <c r="D155" s="1" t="s">
        <v>235</v>
      </c>
      <c r="E155" s="1" t="s">
        <v>14</v>
      </c>
      <c r="F155" s="1">
        <v>36</v>
      </c>
      <c r="G155" s="1">
        <v>0</v>
      </c>
      <c r="H155" s="1">
        <v>2</v>
      </c>
      <c r="I155" s="1">
        <v>350405</v>
      </c>
      <c r="J155" s="1">
        <v>12.183299999999999</v>
      </c>
      <c r="L155" s="1" t="s">
        <v>15</v>
      </c>
    </row>
    <row r="156" spans="1:12" x14ac:dyDescent="0.25">
      <c r="A156" s="1">
        <v>1046</v>
      </c>
      <c r="B156" s="1">
        <v>0</v>
      </c>
      <c r="C156" s="1">
        <v>3</v>
      </c>
      <c r="D156" s="1" t="s">
        <v>236</v>
      </c>
      <c r="E156" s="1" t="s">
        <v>11</v>
      </c>
      <c r="F156" s="1">
        <v>13</v>
      </c>
      <c r="G156" s="1">
        <v>4</v>
      </c>
      <c r="H156" s="1">
        <v>2</v>
      </c>
      <c r="I156" s="1">
        <v>347077</v>
      </c>
      <c r="J156" s="1">
        <v>31.387499999999999</v>
      </c>
      <c r="L156" s="1" t="s">
        <v>15</v>
      </c>
    </row>
    <row r="157" spans="1:12" x14ac:dyDescent="0.25">
      <c r="A157" s="1">
        <v>1047</v>
      </c>
      <c r="B157" s="1">
        <v>0</v>
      </c>
      <c r="C157" s="1">
        <v>3</v>
      </c>
      <c r="D157" s="1" t="s">
        <v>237</v>
      </c>
      <c r="E157" s="1" t="s">
        <v>11</v>
      </c>
      <c r="F157" s="1">
        <v>24</v>
      </c>
      <c r="G157" s="1">
        <v>0</v>
      </c>
      <c r="H157" s="1">
        <v>0</v>
      </c>
      <c r="I157" s="1" t="s">
        <v>238</v>
      </c>
      <c r="J157" s="1">
        <v>7.55</v>
      </c>
      <c r="L157" s="1" t="s">
        <v>15</v>
      </c>
    </row>
    <row r="158" spans="1:12" x14ac:dyDescent="0.25">
      <c r="A158" s="1">
        <v>1048</v>
      </c>
      <c r="B158" s="1">
        <v>1</v>
      </c>
      <c r="C158" s="1">
        <v>1</v>
      </c>
      <c r="D158" s="1" t="s">
        <v>239</v>
      </c>
      <c r="E158" s="1" t="s">
        <v>14</v>
      </c>
      <c r="F158" s="1">
        <v>29</v>
      </c>
      <c r="G158" s="1">
        <v>0</v>
      </c>
      <c r="H158" s="1">
        <v>0</v>
      </c>
      <c r="I158" s="1" t="s">
        <v>138</v>
      </c>
      <c r="J158" s="1">
        <v>221.7792</v>
      </c>
      <c r="K158" s="1" t="s">
        <v>240</v>
      </c>
      <c r="L158" s="1" t="s">
        <v>15</v>
      </c>
    </row>
    <row r="159" spans="1:12" x14ac:dyDescent="0.25">
      <c r="A159" s="1">
        <v>1049</v>
      </c>
      <c r="B159" s="1">
        <v>1</v>
      </c>
      <c r="C159" s="1">
        <v>3</v>
      </c>
      <c r="D159" s="1" t="s">
        <v>241</v>
      </c>
      <c r="E159" s="1" t="s">
        <v>14</v>
      </c>
      <c r="F159" s="1">
        <v>23</v>
      </c>
      <c r="G159" s="1">
        <v>0</v>
      </c>
      <c r="H159" s="1">
        <v>0</v>
      </c>
      <c r="I159" s="1">
        <v>347469</v>
      </c>
      <c r="J159" s="1">
        <v>7.8541999999999996</v>
      </c>
      <c r="L159" s="1" t="s">
        <v>15</v>
      </c>
    </row>
    <row r="160" spans="1:12" x14ac:dyDescent="0.25">
      <c r="A160" s="1">
        <v>1050</v>
      </c>
      <c r="B160" s="1">
        <v>0</v>
      </c>
      <c r="C160" s="1">
        <v>1</v>
      </c>
      <c r="D160" s="1" t="s">
        <v>242</v>
      </c>
      <c r="E160" s="1" t="s">
        <v>11</v>
      </c>
      <c r="F160" s="1">
        <v>42</v>
      </c>
      <c r="G160" s="1">
        <v>0</v>
      </c>
      <c r="H160" s="1">
        <v>0</v>
      </c>
      <c r="I160" s="1">
        <v>110489</v>
      </c>
      <c r="J160" s="1">
        <v>26.55</v>
      </c>
      <c r="K160" s="1" t="s">
        <v>243</v>
      </c>
      <c r="L160" s="1" t="s">
        <v>15</v>
      </c>
    </row>
    <row r="161" spans="1:12" x14ac:dyDescent="0.25">
      <c r="A161" s="1">
        <v>1051</v>
      </c>
      <c r="B161" s="1">
        <v>1</v>
      </c>
      <c r="C161" s="1">
        <v>3</v>
      </c>
      <c r="D161" s="1" t="s">
        <v>244</v>
      </c>
      <c r="E161" s="1" t="s">
        <v>14</v>
      </c>
      <c r="F161" s="1">
        <v>26</v>
      </c>
      <c r="G161" s="1">
        <v>0</v>
      </c>
      <c r="H161" s="1">
        <v>2</v>
      </c>
      <c r="I161" s="1" t="s">
        <v>245</v>
      </c>
      <c r="J161" s="1">
        <v>13.775</v>
      </c>
      <c r="L161" s="1" t="s">
        <v>15</v>
      </c>
    </row>
    <row r="162" spans="1:12" x14ac:dyDescent="0.25">
      <c r="A162" s="1">
        <v>1052</v>
      </c>
      <c r="B162" s="1">
        <v>1</v>
      </c>
      <c r="C162" s="1">
        <v>3</v>
      </c>
      <c r="D162" s="1" t="s">
        <v>246</v>
      </c>
      <c r="E162" s="1" t="s">
        <v>14</v>
      </c>
      <c r="G162" s="1">
        <v>0</v>
      </c>
      <c r="H162" s="1">
        <v>0</v>
      </c>
      <c r="I162" s="1">
        <v>335432</v>
      </c>
      <c r="J162" s="1">
        <v>7.7332999999999998</v>
      </c>
      <c r="L162" s="1" t="s">
        <v>12</v>
      </c>
    </row>
    <row r="163" spans="1:12" x14ac:dyDescent="0.25">
      <c r="A163" s="1">
        <v>1053</v>
      </c>
      <c r="B163" s="1">
        <v>0</v>
      </c>
      <c r="C163" s="1">
        <v>3</v>
      </c>
      <c r="D163" s="1" t="s">
        <v>247</v>
      </c>
      <c r="E163" s="1" t="s">
        <v>11</v>
      </c>
      <c r="F163" s="1">
        <v>7</v>
      </c>
      <c r="G163" s="1">
        <v>1</v>
      </c>
      <c r="H163" s="1">
        <v>1</v>
      </c>
      <c r="I163" s="1">
        <v>2650</v>
      </c>
      <c r="J163" s="1">
        <v>15.245799999999999</v>
      </c>
      <c r="L163" s="1" t="s">
        <v>23</v>
      </c>
    </row>
    <row r="164" spans="1:12" x14ac:dyDescent="0.25">
      <c r="A164" s="1">
        <v>1054</v>
      </c>
      <c r="B164" s="1">
        <v>1</v>
      </c>
      <c r="C164" s="1">
        <v>2</v>
      </c>
      <c r="D164" s="1" t="s">
        <v>248</v>
      </c>
      <c r="E164" s="1" t="s">
        <v>14</v>
      </c>
      <c r="F164" s="1">
        <v>26</v>
      </c>
      <c r="G164" s="1">
        <v>0</v>
      </c>
      <c r="H164" s="1">
        <v>0</v>
      </c>
      <c r="I164" s="1">
        <v>220844</v>
      </c>
      <c r="J164" s="1">
        <v>13.5</v>
      </c>
      <c r="L164" s="1" t="s">
        <v>15</v>
      </c>
    </row>
    <row r="165" spans="1:12" x14ac:dyDescent="0.25">
      <c r="A165" s="1">
        <v>1055</v>
      </c>
      <c r="B165" s="1">
        <v>0</v>
      </c>
      <c r="C165" s="1">
        <v>3</v>
      </c>
      <c r="D165" s="1" t="s">
        <v>249</v>
      </c>
      <c r="E165" s="1" t="s">
        <v>11</v>
      </c>
      <c r="G165" s="1">
        <v>0</v>
      </c>
      <c r="H165" s="1">
        <v>0</v>
      </c>
      <c r="I165" s="1">
        <v>343271</v>
      </c>
      <c r="J165" s="1">
        <v>7</v>
      </c>
      <c r="L165" s="1" t="s">
        <v>15</v>
      </c>
    </row>
    <row r="166" spans="1:12" x14ac:dyDescent="0.25">
      <c r="A166" s="1">
        <v>1056</v>
      </c>
      <c r="B166" s="1">
        <v>0</v>
      </c>
      <c r="C166" s="1">
        <v>2</v>
      </c>
      <c r="D166" s="1" t="s">
        <v>250</v>
      </c>
      <c r="E166" s="1" t="s">
        <v>11</v>
      </c>
      <c r="F166" s="1">
        <v>41</v>
      </c>
      <c r="G166" s="1">
        <v>0</v>
      </c>
      <c r="H166" s="1">
        <v>0</v>
      </c>
      <c r="I166" s="1">
        <v>237393</v>
      </c>
      <c r="J166" s="1">
        <v>13</v>
      </c>
      <c r="L166" s="1" t="s">
        <v>15</v>
      </c>
    </row>
    <row r="167" spans="1:12" x14ac:dyDescent="0.25">
      <c r="A167" s="1">
        <v>1057</v>
      </c>
      <c r="B167" s="1">
        <v>1</v>
      </c>
      <c r="C167" s="1">
        <v>3</v>
      </c>
      <c r="D167" s="1" t="s">
        <v>251</v>
      </c>
      <c r="E167" s="1" t="s">
        <v>14</v>
      </c>
      <c r="F167" s="1">
        <v>26</v>
      </c>
      <c r="G167" s="1">
        <v>1</v>
      </c>
      <c r="H167" s="1">
        <v>1</v>
      </c>
      <c r="I167" s="1">
        <v>315153</v>
      </c>
      <c r="J167" s="1">
        <v>22.024999999999999</v>
      </c>
      <c r="L167" s="1" t="s">
        <v>15</v>
      </c>
    </row>
    <row r="168" spans="1:12" x14ac:dyDescent="0.25">
      <c r="A168" s="1">
        <v>1058</v>
      </c>
      <c r="B168" s="1">
        <v>0</v>
      </c>
      <c r="C168" s="1">
        <v>1</v>
      </c>
      <c r="D168" s="1" t="s">
        <v>252</v>
      </c>
      <c r="E168" s="1" t="s">
        <v>11</v>
      </c>
      <c r="F168" s="1">
        <v>48</v>
      </c>
      <c r="G168" s="1">
        <v>0</v>
      </c>
      <c r="H168" s="1">
        <v>0</v>
      </c>
      <c r="I168" s="1" t="s">
        <v>253</v>
      </c>
      <c r="J168" s="1">
        <v>50.495800000000003</v>
      </c>
      <c r="K168" s="1" t="s">
        <v>254</v>
      </c>
      <c r="L168" s="1" t="s">
        <v>23</v>
      </c>
    </row>
    <row r="169" spans="1:12" x14ac:dyDescent="0.25">
      <c r="A169" s="1">
        <v>1059</v>
      </c>
      <c r="B169" s="1">
        <v>0</v>
      </c>
      <c r="C169" s="1">
        <v>3</v>
      </c>
      <c r="D169" s="1" t="s">
        <v>255</v>
      </c>
      <c r="E169" s="1" t="s">
        <v>11</v>
      </c>
      <c r="F169" s="1">
        <v>18</v>
      </c>
      <c r="G169" s="1">
        <v>2</v>
      </c>
      <c r="H169" s="1">
        <v>2</v>
      </c>
      <c r="I169" s="1" t="s">
        <v>256</v>
      </c>
      <c r="J169" s="1">
        <v>34.375</v>
      </c>
      <c r="L169" s="1" t="s">
        <v>15</v>
      </c>
    </row>
    <row r="170" spans="1:12" x14ac:dyDescent="0.25">
      <c r="A170" s="1">
        <v>1060</v>
      </c>
      <c r="B170" s="1">
        <v>1</v>
      </c>
      <c r="C170" s="1">
        <v>1</v>
      </c>
      <c r="D170" s="1" t="s">
        <v>257</v>
      </c>
      <c r="E170" s="1" t="s">
        <v>14</v>
      </c>
      <c r="G170" s="1">
        <v>0</v>
      </c>
      <c r="H170" s="1">
        <v>0</v>
      </c>
      <c r="I170" s="1">
        <v>17770</v>
      </c>
      <c r="J170" s="1">
        <v>27.720800000000001</v>
      </c>
      <c r="L170" s="1" t="s">
        <v>23</v>
      </c>
    </row>
    <row r="171" spans="1:12" x14ac:dyDescent="0.25">
      <c r="A171" s="1">
        <v>1061</v>
      </c>
      <c r="B171" s="1">
        <v>1</v>
      </c>
      <c r="C171" s="1">
        <v>3</v>
      </c>
      <c r="D171" s="1" t="s">
        <v>258</v>
      </c>
      <c r="E171" s="1" t="s">
        <v>14</v>
      </c>
      <c r="F171" s="1">
        <v>22</v>
      </c>
      <c r="G171" s="1">
        <v>0</v>
      </c>
      <c r="H171" s="1">
        <v>0</v>
      </c>
      <c r="I171" s="1">
        <v>7548</v>
      </c>
      <c r="J171" s="1">
        <v>8.9625000000000004</v>
      </c>
      <c r="L171" s="1" t="s">
        <v>15</v>
      </c>
    </row>
    <row r="172" spans="1:12" x14ac:dyDescent="0.25">
      <c r="A172" s="1">
        <v>1062</v>
      </c>
      <c r="B172" s="1">
        <v>0</v>
      </c>
      <c r="C172" s="1">
        <v>3</v>
      </c>
      <c r="D172" s="1" t="s">
        <v>259</v>
      </c>
      <c r="E172" s="1" t="s">
        <v>11</v>
      </c>
      <c r="G172" s="1">
        <v>0</v>
      </c>
      <c r="H172" s="1">
        <v>0</v>
      </c>
      <c r="I172" s="1" t="s">
        <v>260</v>
      </c>
      <c r="J172" s="1">
        <v>7.55</v>
      </c>
      <c r="L172" s="1" t="s">
        <v>15</v>
      </c>
    </row>
    <row r="173" spans="1:12" x14ac:dyDescent="0.25">
      <c r="A173" s="1">
        <v>1063</v>
      </c>
      <c r="B173" s="1">
        <v>0</v>
      </c>
      <c r="C173" s="1">
        <v>3</v>
      </c>
      <c r="D173" s="1" t="s">
        <v>261</v>
      </c>
      <c r="E173" s="1" t="s">
        <v>11</v>
      </c>
      <c r="F173" s="1">
        <v>27</v>
      </c>
      <c r="G173" s="1">
        <v>0</v>
      </c>
      <c r="H173" s="1">
        <v>0</v>
      </c>
      <c r="I173" s="1">
        <v>2670</v>
      </c>
      <c r="J173" s="1">
        <v>7.2249999999999996</v>
      </c>
      <c r="L173" s="1" t="s">
        <v>23</v>
      </c>
    </row>
    <row r="174" spans="1:12" x14ac:dyDescent="0.25">
      <c r="A174" s="1">
        <v>1064</v>
      </c>
      <c r="B174" s="1">
        <v>0</v>
      </c>
      <c r="C174" s="1">
        <v>3</v>
      </c>
      <c r="D174" s="1" t="s">
        <v>262</v>
      </c>
      <c r="E174" s="1" t="s">
        <v>11</v>
      </c>
      <c r="F174" s="1">
        <v>23</v>
      </c>
      <c r="G174" s="1">
        <v>1</v>
      </c>
      <c r="H174" s="1">
        <v>0</v>
      </c>
      <c r="I174" s="1">
        <v>347072</v>
      </c>
      <c r="J174" s="1">
        <v>13.9</v>
      </c>
      <c r="L174" s="1" t="s">
        <v>15</v>
      </c>
    </row>
    <row r="175" spans="1:12" x14ac:dyDescent="0.25">
      <c r="A175" s="1">
        <v>1065</v>
      </c>
      <c r="B175" s="1">
        <v>0</v>
      </c>
      <c r="C175" s="1">
        <v>3</v>
      </c>
      <c r="D175" s="1" t="s">
        <v>263</v>
      </c>
      <c r="E175" s="1" t="s">
        <v>11</v>
      </c>
      <c r="G175" s="1">
        <v>0</v>
      </c>
      <c r="H175" s="1">
        <v>0</v>
      </c>
      <c r="I175" s="1">
        <v>2673</v>
      </c>
      <c r="J175" s="1">
        <v>7.2291999999999996</v>
      </c>
      <c r="L175" s="1" t="s">
        <v>23</v>
      </c>
    </row>
    <row r="176" spans="1:12" x14ac:dyDescent="0.25">
      <c r="A176" s="1">
        <v>1066</v>
      </c>
      <c r="B176" s="1">
        <v>0</v>
      </c>
      <c r="C176" s="1">
        <v>3</v>
      </c>
      <c r="D176" s="1" t="s">
        <v>264</v>
      </c>
      <c r="E176" s="1" t="s">
        <v>11</v>
      </c>
      <c r="F176" s="1">
        <v>40</v>
      </c>
      <c r="G176" s="1">
        <v>1</v>
      </c>
      <c r="H176" s="1">
        <v>5</v>
      </c>
      <c r="I176" s="1">
        <v>347077</v>
      </c>
      <c r="J176" s="1">
        <v>31.387499999999999</v>
      </c>
      <c r="L176" s="1" t="s">
        <v>15</v>
      </c>
    </row>
    <row r="177" spans="1:12" x14ac:dyDescent="0.25">
      <c r="A177" s="1">
        <v>1067</v>
      </c>
      <c r="B177" s="1">
        <v>1</v>
      </c>
      <c r="C177" s="1">
        <v>2</v>
      </c>
      <c r="D177" s="1" t="s">
        <v>265</v>
      </c>
      <c r="E177" s="1" t="s">
        <v>14</v>
      </c>
      <c r="F177" s="1">
        <v>15</v>
      </c>
      <c r="G177" s="1">
        <v>0</v>
      </c>
      <c r="H177" s="1">
        <v>2</v>
      </c>
      <c r="I177" s="1">
        <v>29750</v>
      </c>
      <c r="J177" s="1">
        <v>39</v>
      </c>
      <c r="L177" s="1" t="s">
        <v>15</v>
      </c>
    </row>
    <row r="178" spans="1:12" x14ac:dyDescent="0.25">
      <c r="A178" s="1">
        <v>1068</v>
      </c>
      <c r="B178" s="1">
        <v>1</v>
      </c>
      <c r="C178" s="1">
        <v>2</v>
      </c>
      <c r="D178" s="1" t="s">
        <v>266</v>
      </c>
      <c r="E178" s="1" t="s">
        <v>14</v>
      </c>
      <c r="F178" s="1">
        <v>20</v>
      </c>
      <c r="G178" s="1">
        <v>0</v>
      </c>
      <c r="H178" s="1">
        <v>0</v>
      </c>
      <c r="I178" s="1" t="s">
        <v>267</v>
      </c>
      <c r="J178" s="1">
        <v>36.75</v>
      </c>
      <c r="L178" s="1" t="s">
        <v>15</v>
      </c>
    </row>
    <row r="179" spans="1:12" x14ac:dyDescent="0.25">
      <c r="A179" s="1">
        <v>1069</v>
      </c>
      <c r="B179" s="1">
        <v>0</v>
      </c>
      <c r="C179" s="1">
        <v>1</v>
      </c>
      <c r="D179" s="1" t="s">
        <v>268</v>
      </c>
      <c r="E179" s="1" t="s">
        <v>11</v>
      </c>
      <c r="F179" s="1">
        <v>54</v>
      </c>
      <c r="G179" s="1">
        <v>1</v>
      </c>
      <c r="H179" s="1">
        <v>0</v>
      </c>
      <c r="I179" s="1">
        <v>11778</v>
      </c>
      <c r="J179" s="1">
        <v>55.441699999999997</v>
      </c>
      <c r="K179" s="1" t="s">
        <v>165</v>
      </c>
      <c r="L179" s="1" t="s">
        <v>23</v>
      </c>
    </row>
    <row r="180" spans="1:12" x14ac:dyDescent="0.25">
      <c r="A180" s="1">
        <v>1070</v>
      </c>
      <c r="B180" s="1">
        <v>1</v>
      </c>
      <c r="C180" s="1">
        <v>2</v>
      </c>
      <c r="D180" s="1" t="s">
        <v>269</v>
      </c>
      <c r="E180" s="1" t="s">
        <v>14</v>
      </c>
      <c r="F180" s="1">
        <v>36</v>
      </c>
      <c r="G180" s="1">
        <v>0</v>
      </c>
      <c r="H180" s="1">
        <v>3</v>
      </c>
      <c r="I180" s="1">
        <v>230136</v>
      </c>
      <c r="J180" s="1">
        <v>39</v>
      </c>
      <c r="K180" s="1" t="s">
        <v>270</v>
      </c>
      <c r="L180" s="1" t="s">
        <v>15</v>
      </c>
    </row>
    <row r="181" spans="1:12" x14ac:dyDescent="0.25">
      <c r="A181" s="1">
        <v>1071</v>
      </c>
      <c r="B181" s="1">
        <v>1</v>
      </c>
      <c r="C181" s="1">
        <v>1</v>
      </c>
      <c r="D181" s="1" t="s">
        <v>271</v>
      </c>
      <c r="E181" s="1" t="s">
        <v>14</v>
      </c>
      <c r="F181" s="1">
        <v>64</v>
      </c>
      <c r="G181" s="1">
        <v>0</v>
      </c>
      <c r="H181" s="1">
        <v>2</v>
      </c>
      <c r="I181" s="1" t="s">
        <v>272</v>
      </c>
      <c r="J181" s="1">
        <v>83.158299999999997</v>
      </c>
      <c r="K181" s="1" t="s">
        <v>273</v>
      </c>
      <c r="L181" s="1" t="s">
        <v>23</v>
      </c>
    </row>
    <row r="182" spans="1:12" x14ac:dyDescent="0.25">
      <c r="A182" s="1">
        <v>1072</v>
      </c>
      <c r="B182" s="1">
        <v>0</v>
      </c>
      <c r="C182" s="1">
        <v>2</v>
      </c>
      <c r="D182" s="1" t="s">
        <v>274</v>
      </c>
      <c r="E182" s="1" t="s">
        <v>11</v>
      </c>
      <c r="F182" s="1">
        <v>30</v>
      </c>
      <c r="G182" s="1">
        <v>0</v>
      </c>
      <c r="H182" s="1">
        <v>0</v>
      </c>
      <c r="I182" s="1">
        <v>233478</v>
      </c>
      <c r="J182" s="1">
        <v>13</v>
      </c>
      <c r="L182" s="1" t="s">
        <v>15</v>
      </c>
    </row>
    <row r="183" spans="1:12" x14ac:dyDescent="0.25">
      <c r="A183" s="1">
        <v>1073</v>
      </c>
      <c r="B183" s="1">
        <v>0</v>
      </c>
      <c r="C183" s="1">
        <v>1</v>
      </c>
      <c r="D183" s="1" t="s">
        <v>275</v>
      </c>
      <c r="E183" s="1" t="s">
        <v>11</v>
      </c>
      <c r="F183" s="1">
        <v>37</v>
      </c>
      <c r="G183" s="1">
        <v>1</v>
      </c>
      <c r="H183" s="1">
        <v>1</v>
      </c>
      <c r="I183" s="1" t="s">
        <v>272</v>
      </c>
      <c r="J183" s="1">
        <v>83.158299999999997</v>
      </c>
      <c r="K183" s="1" t="s">
        <v>276</v>
      </c>
      <c r="L183" s="1" t="s">
        <v>23</v>
      </c>
    </row>
    <row r="184" spans="1:12" x14ac:dyDescent="0.25">
      <c r="A184" s="1">
        <v>1074</v>
      </c>
      <c r="B184" s="1">
        <v>1</v>
      </c>
      <c r="C184" s="1">
        <v>1</v>
      </c>
      <c r="D184" s="1" t="s">
        <v>277</v>
      </c>
      <c r="E184" s="1" t="s">
        <v>14</v>
      </c>
      <c r="F184" s="1">
        <v>18</v>
      </c>
      <c r="G184" s="1">
        <v>1</v>
      </c>
      <c r="H184" s="1">
        <v>0</v>
      </c>
      <c r="I184" s="1">
        <v>113773</v>
      </c>
      <c r="J184" s="1">
        <v>53.1</v>
      </c>
      <c r="K184" s="1" t="s">
        <v>278</v>
      </c>
      <c r="L184" s="1" t="s">
        <v>15</v>
      </c>
    </row>
    <row r="185" spans="1:12" x14ac:dyDescent="0.25">
      <c r="A185" s="1">
        <v>1075</v>
      </c>
      <c r="B185" s="1">
        <v>0</v>
      </c>
      <c r="C185" s="1">
        <v>3</v>
      </c>
      <c r="D185" s="1" t="s">
        <v>279</v>
      </c>
      <c r="E185" s="1" t="s">
        <v>11</v>
      </c>
      <c r="G185" s="1">
        <v>0</v>
      </c>
      <c r="H185" s="1">
        <v>0</v>
      </c>
      <c r="I185" s="1">
        <v>7935</v>
      </c>
      <c r="J185" s="1">
        <v>7.75</v>
      </c>
      <c r="L185" s="1" t="s">
        <v>12</v>
      </c>
    </row>
    <row r="186" spans="1:12" x14ac:dyDescent="0.25">
      <c r="A186" s="1">
        <v>1076</v>
      </c>
      <c r="B186" s="1">
        <v>1</v>
      </c>
      <c r="C186" s="1">
        <v>1</v>
      </c>
      <c r="D186" s="1" t="s">
        <v>280</v>
      </c>
      <c r="E186" s="1" t="s">
        <v>14</v>
      </c>
      <c r="F186" s="1">
        <v>27</v>
      </c>
      <c r="G186" s="1">
        <v>1</v>
      </c>
      <c r="H186" s="1">
        <v>1</v>
      </c>
      <c r="I186" s="1" t="s">
        <v>281</v>
      </c>
      <c r="J186" s="1">
        <v>247.52080000000001</v>
      </c>
      <c r="K186" s="1" t="s">
        <v>282</v>
      </c>
      <c r="L186" s="1" t="s">
        <v>23</v>
      </c>
    </row>
    <row r="187" spans="1:12" x14ac:dyDescent="0.25">
      <c r="A187" s="1">
        <v>1077</v>
      </c>
      <c r="B187" s="1">
        <v>0</v>
      </c>
      <c r="C187" s="1">
        <v>2</v>
      </c>
      <c r="D187" s="1" t="s">
        <v>283</v>
      </c>
      <c r="E187" s="1" t="s">
        <v>11</v>
      </c>
      <c r="F187" s="1">
        <v>40</v>
      </c>
      <c r="G187" s="1">
        <v>0</v>
      </c>
      <c r="H187" s="1">
        <v>0</v>
      </c>
      <c r="I187" s="1">
        <v>239059</v>
      </c>
      <c r="J187" s="1">
        <v>16</v>
      </c>
      <c r="L187" s="1" t="s">
        <v>15</v>
      </c>
    </row>
    <row r="188" spans="1:12" x14ac:dyDescent="0.25">
      <c r="A188" s="1">
        <v>1078</v>
      </c>
      <c r="B188" s="1">
        <v>1</v>
      </c>
      <c r="C188" s="1">
        <v>2</v>
      </c>
      <c r="D188" s="1" t="s">
        <v>284</v>
      </c>
      <c r="E188" s="1" t="s">
        <v>14</v>
      </c>
      <c r="F188" s="1">
        <v>21</v>
      </c>
      <c r="G188" s="1">
        <v>0</v>
      </c>
      <c r="H188" s="1">
        <v>1</v>
      </c>
      <c r="I188" s="1" t="s">
        <v>285</v>
      </c>
      <c r="J188" s="1">
        <v>21</v>
      </c>
      <c r="L188" s="1" t="s">
        <v>15</v>
      </c>
    </row>
    <row r="189" spans="1:12" x14ac:dyDescent="0.25">
      <c r="A189" s="1">
        <v>1079</v>
      </c>
      <c r="B189" s="1">
        <v>0</v>
      </c>
      <c r="C189" s="1">
        <v>3</v>
      </c>
      <c r="D189" s="1" t="s">
        <v>286</v>
      </c>
      <c r="E189" s="1" t="s">
        <v>11</v>
      </c>
      <c r="F189" s="1">
        <v>17</v>
      </c>
      <c r="G189" s="1">
        <v>2</v>
      </c>
      <c r="H189" s="1">
        <v>0</v>
      </c>
      <c r="I189" s="1" t="s">
        <v>287</v>
      </c>
      <c r="J189" s="1">
        <v>8.0500000000000007</v>
      </c>
      <c r="L189" s="1" t="s">
        <v>15</v>
      </c>
    </row>
    <row r="190" spans="1:12" x14ac:dyDescent="0.25">
      <c r="A190" s="1">
        <v>1080</v>
      </c>
      <c r="B190" s="1">
        <v>1</v>
      </c>
      <c r="C190" s="1">
        <v>3</v>
      </c>
      <c r="D190" s="1" t="s">
        <v>288</v>
      </c>
      <c r="E190" s="1" t="s">
        <v>14</v>
      </c>
      <c r="G190" s="1">
        <v>8</v>
      </c>
      <c r="H190" s="1">
        <v>2</v>
      </c>
      <c r="I190" s="1" t="s">
        <v>289</v>
      </c>
      <c r="J190" s="1">
        <v>69.55</v>
      </c>
      <c r="L190" s="1" t="s">
        <v>15</v>
      </c>
    </row>
    <row r="191" spans="1:12" x14ac:dyDescent="0.25">
      <c r="A191" s="1">
        <v>1081</v>
      </c>
      <c r="B191" s="1">
        <v>0</v>
      </c>
      <c r="C191" s="1">
        <v>2</v>
      </c>
      <c r="D191" s="1" t="s">
        <v>290</v>
      </c>
      <c r="E191" s="1" t="s">
        <v>11</v>
      </c>
      <c r="F191" s="1">
        <v>40</v>
      </c>
      <c r="G191" s="1">
        <v>0</v>
      </c>
      <c r="H191" s="1">
        <v>0</v>
      </c>
      <c r="I191" s="1">
        <v>28221</v>
      </c>
      <c r="J191" s="1">
        <v>13</v>
      </c>
      <c r="L191" s="1" t="s">
        <v>15</v>
      </c>
    </row>
    <row r="192" spans="1:12" x14ac:dyDescent="0.25">
      <c r="A192" s="1">
        <v>1082</v>
      </c>
      <c r="B192" s="1">
        <v>0</v>
      </c>
      <c r="C192" s="1">
        <v>2</v>
      </c>
      <c r="D192" s="1" t="s">
        <v>291</v>
      </c>
      <c r="E192" s="1" t="s">
        <v>11</v>
      </c>
      <c r="F192" s="1">
        <v>34</v>
      </c>
      <c r="G192" s="1">
        <v>1</v>
      </c>
      <c r="H192" s="1">
        <v>0</v>
      </c>
      <c r="I192" s="1">
        <v>226875</v>
      </c>
      <c r="J192" s="1">
        <v>26</v>
      </c>
      <c r="L192" s="1" t="s">
        <v>15</v>
      </c>
    </row>
    <row r="193" spans="1:12" x14ac:dyDescent="0.25">
      <c r="A193" s="1">
        <v>1083</v>
      </c>
      <c r="B193" s="1">
        <v>0</v>
      </c>
      <c r="C193" s="1">
        <v>1</v>
      </c>
      <c r="D193" s="1" t="s">
        <v>292</v>
      </c>
      <c r="E193" s="1" t="s">
        <v>11</v>
      </c>
      <c r="G193" s="1">
        <v>0</v>
      </c>
      <c r="H193" s="1">
        <v>0</v>
      </c>
      <c r="I193" s="1">
        <v>111163</v>
      </c>
      <c r="J193" s="1">
        <v>26</v>
      </c>
      <c r="L193" s="1" t="s">
        <v>15</v>
      </c>
    </row>
    <row r="194" spans="1:12" x14ac:dyDescent="0.25">
      <c r="A194" s="1">
        <v>1084</v>
      </c>
      <c r="B194" s="1">
        <v>0</v>
      </c>
      <c r="C194" s="1">
        <v>3</v>
      </c>
      <c r="D194" s="1" t="s">
        <v>293</v>
      </c>
      <c r="E194" s="1" t="s">
        <v>11</v>
      </c>
      <c r="F194" s="1">
        <v>11.5</v>
      </c>
      <c r="G194" s="1">
        <v>1</v>
      </c>
      <c r="H194" s="1">
        <v>1</v>
      </c>
      <c r="I194" s="1" t="s">
        <v>294</v>
      </c>
      <c r="J194" s="1">
        <v>14.5</v>
      </c>
      <c r="L194" s="1" t="s">
        <v>15</v>
      </c>
    </row>
    <row r="195" spans="1:12" x14ac:dyDescent="0.25">
      <c r="A195" s="1">
        <v>1085</v>
      </c>
      <c r="B195" s="1">
        <v>0</v>
      </c>
      <c r="C195" s="1">
        <v>2</v>
      </c>
      <c r="D195" s="1" t="s">
        <v>295</v>
      </c>
      <c r="E195" s="1" t="s">
        <v>11</v>
      </c>
      <c r="F195" s="1">
        <v>61</v>
      </c>
      <c r="G195" s="1">
        <v>0</v>
      </c>
      <c r="H195" s="1">
        <v>0</v>
      </c>
      <c r="I195" s="1">
        <v>235509</v>
      </c>
      <c r="J195" s="1">
        <v>12.35</v>
      </c>
      <c r="L195" s="1" t="s">
        <v>12</v>
      </c>
    </row>
    <row r="196" spans="1:12" x14ac:dyDescent="0.25">
      <c r="A196" s="1">
        <v>1086</v>
      </c>
      <c r="B196" s="1">
        <v>0</v>
      </c>
      <c r="C196" s="1">
        <v>2</v>
      </c>
      <c r="D196" s="1" t="s">
        <v>296</v>
      </c>
      <c r="E196" s="1" t="s">
        <v>11</v>
      </c>
      <c r="F196" s="1">
        <v>8</v>
      </c>
      <c r="G196" s="1">
        <v>0</v>
      </c>
      <c r="H196" s="1">
        <v>2</v>
      </c>
      <c r="I196" s="1">
        <v>28220</v>
      </c>
      <c r="J196" s="1">
        <v>32.5</v>
      </c>
      <c r="L196" s="1" t="s">
        <v>15</v>
      </c>
    </row>
    <row r="197" spans="1:12" x14ac:dyDescent="0.25">
      <c r="A197" s="1">
        <v>1087</v>
      </c>
      <c r="B197" s="1">
        <v>0</v>
      </c>
      <c r="C197" s="1">
        <v>3</v>
      </c>
      <c r="D197" s="1" t="s">
        <v>297</v>
      </c>
      <c r="E197" s="1" t="s">
        <v>11</v>
      </c>
      <c r="F197" s="1">
        <v>33</v>
      </c>
      <c r="G197" s="1">
        <v>0</v>
      </c>
      <c r="H197" s="1">
        <v>0</v>
      </c>
      <c r="I197" s="1">
        <v>347465</v>
      </c>
      <c r="J197" s="1">
        <v>7.8541999999999996</v>
      </c>
      <c r="L197" s="1" t="s">
        <v>15</v>
      </c>
    </row>
    <row r="198" spans="1:12" x14ac:dyDescent="0.25">
      <c r="A198" s="1">
        <v>1088</v>
      </c>
      <c r="B198" s="1">
        <v>0</v>
      </c>
      <c r="C198" s="1">
        <v>1</v>
      </c>
      <c r="D198" s="1" t="s">
        <v>298</v>
      </c>
      <c r="E198" s="1" t="s">
        <v>11</v>
      </c>
      <c r="F198" s="1">
        <v>6</v>
      </c>
      <c r="G198" s="1">
        <v>0</v>
      </c>
      <c r="H198" s="1">
        <v>2</v>
      </c>
      <c r="I198" s="1">
        <v>16966</v>
      </c>
      <c r="J198" s="1">
        <v>134.5</v>
      </c>
      <c r="K198" s="1" t="s">
        <v>299</v>
      </c>
      <c r="L198" s="1" t="s">
        <v>23</v>
      </c>
    </row>
    <row r="199" spans="1:12" x14ac:dyDescent="0.25">
      <c r="A199" s="1">
        <v>1089</v>
      </c>
      <c r="B199" s="1">
        <v>1</v>
      </c>
      <c r="C199" s="1">
        <v>3</v>
      </c>
      <c r="D199" s="1" t="s">
        <v>300</v>
      </c>
      <c r="E199" s="1" t="s">
        <v>14</v>
      </c>
      <c r="F199" s="1">
        <v>18</v>
      </c>
      <c r="G199" s="1">
        <v>0</v>
      </c>
      <c r="H199" s="1">
        <v>0</v>
      </c>
      <c r="I199" s="1">
        <v>347066</v>
      </c>
      <c r="J199" s="1">
        <v>7.7750000000000004</v>
      </c>
      <c r="L199" s="1" t="s">
        <v>15</v>
      </c>
    </row>
    <row r="200" spans="1:12" x14ac:dyDescent="0.25">
      <c r="A200" s="1">
        <v>1090</v>
      </c>
      <c r="B200" s="1">
        <v>0</v>
      </c>
      <c r="C200" s="1">
        <v>2</v>
      </c>
      <c r="D200" s="1" t="s">
        <v>301</v>
      </c>
      <c r="E200" s="1" t="s">
        <v>11</v>
      </c>
      <c r="F200" s="1">
        <v>23</v>
      </c>
      <c r="G200" s="1">
        <v>0</v>
      </c>
      <c r="H200" s="1">
        <v>0</v>
      </c>
      <c r="I200" s="1" t="s">
        <v>302</v>
      </c>
      <c r="J200" s="1">
        <v>10.5</v>
      </c>
      <c r="L200" s="1" t="s">
        <v>15</v>
      </c>
    </row>
    <row r="201" spans="1:12" x14ac:dyDescent="0.25">
      <c r="A201" s="1">
        <v>1091</v>
      </c>
      <c r="B201" s="1">
        <v>1</v>
      </c>
      <c r="C201" s="1">
        <v>3</v>
      </c>
      <c r="D201" s="1" t="s">
        <v>303</v>
      </c>
      <c r="E201" s="1" t="s">
        <v>14</v>
      </c>
      <c r="G201" s="1">
        <v>0</v>
      </c>
      <c r="H201" s="1">
        <v>0</v>
      </c>
      <c r="I201" s="1">
        <v>65305</v>
      </c>
      <c r="J201" s="1">
        <v>8.1125000000000007</v>
      </c>
      <c r="L201" s="1" t="s">
        <v>15</v>
      </c>
    </row>
    <row r="202" spans="1:12" x14ac:dyDescent="0.25">
      <c r="A202" s="1">
        <v>1092</v>
      </c>
      <c r="B202" s="1">
        <v>1</v>
      </c>
      <c r="C202" s="1">
        <v>3</v>
      </c>
      <c r="D202" s="1" t="s">
        <v>304</v>
      </c>
      <c r="E202" s="1" t="s">
        <v>14</v>
      </c>
      <c r="G202" s="1">
        <v>0</v>
      </c>
      <c r="H202" s="1">
        <v>0</v>
      </c>
      <c r="I202" s="1">
        <v>36568</v>
      </c>
      <c r="J202" s="1">
        <v>15.5</v>
      </c>
      <c r="L202" s="1" t="s">
        <v>12</v>
      </c>
    </row>
    <row r="203" spans="1:12" x14ac:dyDescent="0.25">
      <c r="A203" s="1">
        <v>1093</v>
      </c>
      <c r="B203" s="1">
        <v>0</v>
      </c>
      <c r="C203" s="1">
        <v>3</v>
      </c>
      <c r="D203" s="1" t="s">
        <v>305</v>
      </c>
      <c r="E203" s="1" t="s">
        <v>11</v>
      </c>
      <c r="F203" s="1">
        <v>0.33</v>
      </c>
      <c r="G203" s="1">
        <v>0</v>
      </c>
      <c r="H203" s="1">
        <v>2</v>
      </c>
      <c r="I203" s="1">
        <v>347080</v>
      </c>
      <c r="J203" s="1">
        <v>14.4</v>
      </c>
      <c r="L203" s="1" t="s">
        <v>15</v>
      </c>
    </row>
    <row r="204" spans="1:12" x14ac:dyDescent="0.25">
      <c r="A204" s="1">
        <v>1094</v>
      </c>
      <c r="B204" s="1">
        <v>0</v>
      </c>
      <c r="C204" s="1">
        <v>1</v>
      </c>
      <c r="D204" s="1" t="s">
        <v>306</v>
      </c>
      <c r="E204" s="1" t="s">
        <v>11</v>
      </c>
      <c r="F204" s="1">
        <v>47</v>
      </c>
      <c r="G204" s="1">
        <v>1</v>
      </c>
      <c r="H204" s="1">
        <v>0</v>
      </c>
      <c r="I204" s="1" t="s">
        <v>307</v>
      </c>
      <c r="J204" s="1">
        <v>227.52500000000001</v>
      </c>
      <c r="K204" s="1" t="s">
        <v>308</v>
      </c>
      <c r="L204" s="1" t="s">
        <v>23</v>
      </c>
    </row>
    <row r="205" spans="1:12" x14ac:dyDescent="0.25">
      <c r="A205" s="1">
        <v>1095</v>
      </c>
      <c r="B205" s="1">
        <v>1</v>
      </c>
      <c r="C205" s="1">
        <v>2</v>
      </c>
      <c r="D205" s="1" t="s">
        <v>309</v>
      </c>
      <c r="E205" s="1" t="s">
        <v>14</v>
      </c>
      <c r="F205" s="1">
        <v>8</v>
      </c>
      <c r="G205" s="1">
        <v>1</v>
      </c>
      <c r="H205" s="1">
        <v>1</v>
      </c>
      <c r="I205" s="1">
        <v>26360</v>
      </c>
      <c r="J205" s="1">
        <v>26</v>
      </c>
      <c r="L205" s="1" t="s">
        <v>15</v>
      </c>
    </row>
    <row r="206" spans="1:12" x14ac:dyDescent="0.25">
      <c r="A206" s="1">
        <v>1096</v>
      </c>
      <c r="B206" s="1">
        <v>0</v>
      </c>
      <c r="C206" s="1">
        <v>2</v>
      </c>
      <c r="D206" s="1" t="s">
        <v>310</v>
      </c>
      <c r="E206" s="1" t="s">
        <v>11</v>
      </c>
      <c r="F206" s="1">
        <v>25</v>
      </c>
      <c r="G206" s="1">
        <v>0</v>
      </c>
      <c r="H206" s="1">
        <v>0</v>
      </c>
      <c r="I206" s="1" t="s">
        <v>311</v>
      </c>
      <c r="J206" s="1">
        <v>10.5</v>
      </c>
      <c r="L206" s="1" t="s">
        <v>15</v>
      </c>
    </row>
    <row r="207" spans="1:12" x14ac:dyDescent="0.25">
      <c r="A207" s="1">
        <v>1097</v>
      </c>
      <c r="B207" s="1">
        <v>0</v>
      </c>
      <c r="C207" s="1">
        <v>1</v>
      </c>
      <c r="D207" s="1" t="s">
        <v>312</v>
      </c>
      <c r="E207" s="1" t="s">
        <v>11</v>
      </c>
      <c r="G207" s="1">
        <v>0</v>
      </c>
      <c r="H207" s="1">
        <v>0</v>
      </c>
      <c r="I207" s="1" t="s">
        <v>313</v>
      </c>
      <c r="J207" s="1">
        <v>25.741700000000002</v>
      </c>
      <c r="L207" s="1" t="s">
        <v>23</v>
      </c>
    </row>
    <row r="208" spans="1:12" x14ac:dyDescent="0.25">
      <c r="A208" s="1">
        <v>1098</v>
      </c>
      <c r="B208" s="1">
        <v>1</v>
      </c>
      <c r="C208" s="1">
        <v>3</v>
      </c>
      <c r="D208" s="1" t="s">
        <v>314</v>
      </c>
      <c r="E208" s="1" t="s">
        <v>14</v>
      </c>
      <c r="F208" s="1">
        <v>35</v>
      </c>
      <c r="G208" s="1">
        <v>0</v>
      </c>
      <c r="H208" s="1">
        <v>0</v>
      </c>
      <c r="I208" s="1">
        <v>9232</v>
      </c>
      <c r="J208" s="1">
        <v>7.75</v>
      </c>
      <c r="L208" s="1" t="s">
        <v>12</v>
      </c>
    </row>
    <row r="209" spans="1:12" x14ac:dyDescent="0.25">
      <c r="A209" s="1">
        <v>1099</v>
      </c>
      <c r="B209" s="1">
        <v>0</v>
      </c>
      <c r="C209" s="1">
        <v>2</v>
      </c>
      <c r="D209" s="1" t="s">
        <v>315</v>
      </c>
      <c r="E209" s="1" t="s">
        <v>11</v>
      </c>
      <c r="F209" s="1">
        <v>24</v>
      </c>
      <c r="G209" s="1">
        <v>0</v>
      </c>
      <c r="H209" s="1">
        <v>0</v>
      </c>
      <c r="I209" s="1">
        <v>28034</v>
      </c>
      <c r="J209" s="1">
        <v>10.5</v>
      </c>
      <c r="L209" s="1" t="s">
        <v>15</v>
      </c>
    </row>
    <row r="210" spans="1:12" x14ac:dyDescent="0.25">
      <c r="A210" s="1">
        <v>1100</v>
      </c>
      <c r="B210" s="1">
        <v>1</v>
      </c>
      <c r="C210" s="1">
        <v>1</v>
      </c>
      <c r="D210" s="1" t="s">
        <v>316</v>
      </c>
      <c r="E210" s="1" t="s">
        <v>14</v>
      </c>
      <c r="F210" s="1">
        <v>33</v>
      </c>
      <c r="G210" s="1">
        <v>0</v>
      </c>
      <c r="H210" s="1">
        <v>0</v>
      </c>
      <c r="I210" s="1" t="s">
        <v>317</v>
      </c>
      <c r="J210" s="1">
        <v>27.720800000000001</v>
      </c>
      <c r="K210" s="1" t="s">
        <v>318</v>
      </c>
      <c r="L210" s="1" t="s">
        <v>23</v>
      </c>
    </row>
    <row r="211" spans="1:12" x14ac:dyDescent="0.25">
      <c r="A211" s="1">
        <v>1101</v>
      </c>
      <c r="B211" s="1">
        <v>0</v>
      </c>
      <c r="C211" s="1">
        <v>3</v>
      </c>
      <c r="D211" s="1" t="s">
        <v>319</v>
      </c>
      <c r="E211" s="1" t="s">
        <v>11</v>
      </c>
      <c r="F211" s="1">
        <v>25</v>
      </c>
      <c r="G211" s="1">
        <v>0</v>
      </c>
      <c r="H211" s="1">
        <v>0</v>
      </c>
      <c r="I211" s="1">
        <v>349250</v>
      </c>
      <c r="J211" s="1">
        <v>7.8958000000000004</v>
      </c>
      <c r="L211" s="1" t="s">
        <v>15</v>
      </c>
    </row>
    <row r="212" spans="1:12" x14ac:dyDescent="0.25">
      <c r="A212" s="1">
        <v>1102</v>
      </c>
      <c r="B212" s="1">
        <v>0</v>
      </c>
      <c r="C212" s="1">
        <v>3</v>
      </c>
      <c r="D212" s="1" t="s">
        <v>320</v>
      </c>
      <c r="E212" s="1" t="s">
        <v>11</v>
      </c>
      <c r="F212" s="1">
        <v>32</v>
      </c>
      <c r="G212" s="1">
        <v>0</v>
      </c>
      <c r="H212" s="1">
        <v>0</v>
      </c>
      <c r="I212" s="1" t="s">
        <v>171</v>
      </c>
      <c r="J212" s="1">
        <v>22.524999999999999</v>
      </c>
      <c r="L212" s="1" t="s">
        <v>15</v>
      </c>
    </row>
    <row r="213" spans="1:12" x14ac:dyDescent="0.25">
      <c r="A213" s="1">
        <v>1103</v>
      </c>
      <c r="B213" s="1">
        <v>0</v>
      </c>
      <c r="C213" s="1">
        <v>3</v>
      </c>
      <c r="D213" s="1" t="s">
        <v>321</v>
      </c>
      <c r="E213" s="1" t="s">
        <v>11</v>
      </c>
      <c r="G213" s="1">
        <v>0</v>
      </c>
      <c r="H213" s="1">
        <v>0</v>
      </c>
      <c r="I213" s="1" t="s">
        <v>322</v>
      </c>
      <c r="J213" s="1">
        <v>7.05</v>
      </c>
      <c r="L213" s="1" t="s">
        <v>15</v>
      </c>
    </row>
    <row r="214" spans="1:12" x14ac:dyDescent="0.25">
      <c r="A214" s="1">
        <v>1104</v>
      </c>
      <c r="B214" s="1">
        <v>0</v>
      </c>
      <c r="C214" s="1">
        <v>2</v>
      </c>
      <c r="D214" s="1" t="s">
        <v>323</v>
      </c>
      <c r="E214" s="1" t="s">
        <v>11</v>
      </c>
      <c r="F214" s="1">
        <v>17</v>
      </c>
      <c r="G214" s="1">
        <v>0</v>
      </c>
      <c r="H214" s="1">
        <v>0</v>
      </c>
      <c r="I214" s="1" t="s">
        <v>324</v>
      </c>
      <c r="J214" s="1">
        <v>73.5</v>
      </c>
      <c r="L214" s="1" t="s">
        <v>15</v>
      </c>
    </row>
    <row r="215" spans="1:12" x14ac:dyDescent="0.25">
      <c r="A215" s="1">
        <v>1105</v>
      </c>
      <c r="B215" s="1">
        <v>1</v>
      </c>
      <c r="C215" s="1">
        <v>2</v>
      </c>
      <c r="D215" s="1" t="s">
        <v>325</v>
      </c>
      <c r="E215" s="1" t="s">
        <v>14</v>
      </c>
      <c r="F215" s="1">
        <v>60</v>
      </c>
      <c r="G215" s="1">
        <v>1</v>
      </c>
      <c r="H215" s="1">
        <v>0</v>
      </c>
      <c r="I215" s="1">
        <v>24065</v>
      </c>
      <c r="J215" s="1">
        <v>26</v>
      </c>
      <c r="L215" s="1" t="s">
        <v>15</v>
      </c>
    </row>
    <row r="216" spans="1:12" x14ac:dyDescent="0.25">
      <c r="A216" s="1">
        <v>1106</v>
      </c>
      <c r="B216" s="1">
        <v>1</v>
      </c>
      <c r="C216" s="1">
        <v>3</v>
      </c>
      <c r="D216" s="1" t="s">
        <v>326</v>
      </c>
      <c r="E216" s="1" t="s">
        <v>14</v>
      </c>
      <c r="F216" s="1">
        <v>38</v>
      </c>
      <c r="G216" s="1">
        <v>4</v>
      </c>
      <c r="H216" s="1">
        <v>2</v>
      </c>
      <c r="I216" s="1">
        <v>347091</v>
      </c>
      <c r="J216" s="1">
        <v>7.7750000000000004</v>
      </c>
      <c r="L216" s="1" t="s">
        <v>15</v>
      </c>
    </row>
    <row r="217" spans="1:12" x14ac:dyDescent="0.25">
      <c r="A217" s="1">
        <v>1107</v>
      </c>
      <c r="B217" s="1">
        <v>0</v>
      </c>
      <c r="C217" s="1">
        <v>1</v>
      </c>
      <c r="D217" s="1" t="s">
        <v>327</v>
      </c>
      <c r="E217" s="1" t="s">
        <v>11</v>
      </c>
      <c r="F217" s="1">
        <v>42</v>
      </c>
      <c r="G217" s="1">
        <v>0</v>
      </c>
      <c r="H217" s="1">
        <v>0</v>
      </c>
      <c r="I217" s="1">
        <v>113038</v>
      </c>
      <c r="J217" s="1">
        <v>42.5</v>
      </c>
      <c r="K217" s="1" t="s">
        <v>328</v>
      </c>
      <c r="L217" s="1" t="s">
        <v>15</v>
      </c>
    </row>
    <row r="218" spans="1:12" x14ac:dyDescent="0.25">
      <c r="A218" s="1">
        <v>1108</v>
      </c>
      <c r="B218" s="1">
        <v>1</v>
      </c>
      <c r="C218" s="1">
        <v>3</v>
      </c>
      <c r="D218" s="1" t="s">
        <v>329</v>
      </c>
      <c r="E218" s="1" t="s">
        <v>14</v>
      </c>
      <c r="G218" s="1">
        <v>0</v>
      </c>
      <c r="H218" s="1">
        <v>0</v>
      </c>
      <c r="I218" s="1">
        <v>330924</v>
      </c>
      <c r="J218" s="1">
        <v>7.8792</v>
      </c>
      <c r="L218" s="1" t="s">
        <v>12</v>
      </c>
    </row>
    <row r="219" spans="1:12" x14ac:dyDescent="0.25">
      <c r="A219" s="1">
        <v>1109</v>
      </c>
      <c r="B219" s="1">
        <v>0</v>
      </c>
      <c r="C219" s="1">
        <v>1</v>
      </c>
      <c r="D219" s="1" t="s">
        <v>330</v>
      </c>
      <c r="E219" s="1" t="s">
        <v>11</v>
      </c>
      <c r="F219" s="1">
        <v>57</v>
      </c>
      <c r="G219" s="1">
        <v>1</v>
      </c>
      <c r="H219" s="1">
        <v>1</v>
      </c>
      <c r="I219" s="1">
        <v>36928</v>
      </c>
      <c r="J219" s="1">
        <v>164.86670000000001</v>
      </c>
      <c r="L219" s="1" t="s">
        <v>15</v>
      </c>
    </row>
    <row r="220" spans="1:12" x14ac:dyDescent="0.25">
      <c r="A220" s="1">
        <v>1110</v>
      </c>
      <c r="B220" s="1">
        <v>1</v>
      </c>
      <c r="C220" s="1">
        <v>1</v>
      </c>
      <c r="D220" s="1" t="s">
        <v>331</v>
      </c>
      <c r="E220" s="1" t="s">
        <v>14</v>
      </c>
      <c r="F220" s="1">
        <v>50</v>
      </c>
      <c r="G220" s="1">
        <v>1</v>
      </c>
      <c r="H220" s="1">
        <v>1</v>
      </c>
      <c r="I220" s="1">
        <v>113503</v>
      </c>
      <c r="J220" s="1">
        <v>211.5</v>
      </c>
      <c r="K220" s="1" t="s">
        <v>332</v>
      </c>
      <c r="L220" s="1" t="s">
        <v>23</v>
      </c>
    </row>
    <row r="221" spans="1:12" x14ac:dyDescent="0.25">
      <c r="A221" s="1">
        <v>1111</v>
      </c>
      <c r="B221" s="1">
        <v>0</v>
      </c>
      <c r="C221" s="1">
        <v>3</v>
      </c>
      <c r="D221" s="1" t="s">
        <v>333</v>
      </c>
      <c r="E221" s="1" t="s">
        <v>11</v>
      </c>
      <c r="G221" s="1">
        <v>0</v>
      </c>
      <c r="H221" s="1">
        <v>0</v>
      </c>
      <c r="I221" s="1">
        <v>32302</v>
      </c>
      <c r="J221" s="1">
        <v>8.0500000000000007</v>
      </c>
      <c r="L221" s="1" t="s">
        <v>15</v>
      </c>
    </row>
    <row r="222" spans="1:12" x14ac:dyDescent="0.25">
      <c r="A222" s="1">
        <v>1112</v>
      </c>
      <c r="B222" s="1">
        <v>1</v>
      </c>
      <c r="C222" s="1">
        <v>2</v>
      </c>
      <c r="D222" s="1" t="s">
        <v>334</v>
      </c>
      <c r="E222" s="1" t="s">
        <v>14</v>
      </c>
      <c r="F222" s="1">
        <v>30</v>
      </c>
      <c r="G222" s="1">
        <v>1</v>
      </c>
      <c r="H222" s="1">
        <v>0</v>
      </c>
      <c r="I222" s="1" t="s">
        <v>335</v>
      </c>
      <c r="J222" s="1">
        <v>13.8583</v>
      </c>
      <c r="L222" s="1" t="s">
        <v>23</v>
      </c>
    </row>
    <row r="223" spans="1:12" x14ac:dyDescent="0.25">
      <c r="A223" s="1">
        <v>1113</v>
      </c>
      <c r="B223" s="1">
        <v>0</v>
      </c>
      <c r="C223" s="1">
        <v>3</v>
      </c>
      <c r="D223" s="1" t="s">
        <v>336</v>
      </c>
      <c r="E223" s="1" t="s">
        <v>11</v>
      </c>
      <c r="F223" s="1">
        <v>21</v>
      </c>
      <c r="G223" s="1">
        <v>0</v>
      </c>
      <c r="H223" s="1">
        <v>0</v>
      </c>
      <c r="I223" s="1">
        <v>342684</v>
      </c>
      <c r="J223" s="1">
        <v>8.0500000000000007</v>
      </c>
      <c r="L223" s="1" t="s">
        <v>15</v>
      </c>
    </row>
    <row r="224" spans="1:12" x14ac:dyDescent="0.25">
      <c r="A224" s="1">
        <v>1114</v>
      </c>
      <c r="B224" s="1">
        <v>1</v>
      </c>
      <c r="C224" s="1">
        <v>2</v>
      </c>
      <c r="D224" s="1" t="s">
        <v>337</v>
      </c>
      <c r="E224" s="1" t="s">
        <v>14</v>
      </c>
      <c r="F224" s="1">
        <v>22</v>
      </c>
      <c r="G224" s="1">
        <v>0</v>
      </c>
      <c r="H224" s="1">
        <v>0</v>
      </c>
      <c r="I224" s="1" t="s">
        <v>338</v>
      </c>
      <c r="J224" s="1">
        <v>10.5</v>
      </c>
      <c r="K224" s="1" t="s">
        <v>339</v>
      </c>
      <c r="L224" s="1" t="s">
        <v>15</v>
      </c>
    </row>
    <row r="225" spans="1:12" x14ac:dyDescent="0.25">
      <c r="A225" s="1">
        <v>1115</v>
      </c>
      <c r="B225" s="1">
        <v>0</v>
      </c>
      <c r="C225" s="1">
        <v>3</v>
      </c>
      <c r="D225" s="1" t="s">
        <v>340</v>
      </c>
      <c r="E225" s="1" t="s">
        <v>11</v>
      </c>
      <c r="F225" s="1">
        <v>21</v>
      </c>
      <c r="G225" s="1">
        <v>0</v>
      </c>
      <c r="H225" s="1">
        <v>0</v>
      </c>
      <c r="I225" s="1">
        <v>350053</v>
      </c>
      <c r="J225" s="1">
        <v>7.7957999999999998</v>
      </c>
      <c r="L225" s="1" t="s">
        <v>15</v>
      </c>
    </row>
    <row r="226" spans="1:12" x14ac:dyDescent="0.25">
      <c r="A226" s="1">
        <v>1116</v>
      </c>
      <c r="B226" s="1">
        <v>1</v>
      </c>
      <c r="C226" s="1">
        <v>1</v>
      </c>
      <c r="D226" s="1" t="s">
        <v>341</v>
      </c>
      <c r="E226" s="1" t="s">
        <v>14</v>
      </c>
      <c r="F226" s="1">
        <v>53</v>
      </c>
      <c r="G226" s="1">
        <v>0</v>
      </c>
      <c r="H226" s="1">
        <v>0</v>
      </c>
      <c r="I226" s="1" t="s">
        <v>342</v>
      </c>
      <c r="J226" s="1">
        <v>27.445799999999998</v>
      </c>
      <c r="L226" s="1" t="s">
        <v>23</v>
      </c>
    </row>
    <row r="227" spans="1:12" x14ac:dyDescent="0.25">
      <c r="A227" s="1">
        <v>1117</v>
      </c>
      <c r="B227" s="1">
        <v>1</v>
      </c>
      <c r="C227" s="1">
        <v>3</v>
      </c>
      <c r="D227" s="1" t="s">
        <v>343</v>
      </c>
      <c r="E227" s="1" t="s">
        <v>14</v>
      </c>
      <c r="G227" s="1">
        <v>0</v>
      </c>
      <c r="H227" s="1">
        <v>2</v>
      </c>
      <c r="I227" s="1">
        <v>2661</v>
      </c>
      <c r="J227" s="1">
        <v>15.245799999999999</v>
      </c>
      <c r="L227" s="1" t="s">
        <v>23</v>
      </c>
    </row>
    <row r="228" spans="1:12" x14ac:dyDescent="0.25">
      <c r="A228" s="1">
        <v>1118</v>
      </c>
      <c r="B228" s="1">
        <v>0</v>
      </c>
      <c r="C228" s="1">
        <v>3</v>
      </c>
      <c r="D228" s="1" t="s">
        <v>344</v>
      </c>
      <c r="E228" s="1" t="s">
        <v>11</v>
      </c>
      <c r="F228" s="1">
        <v>23</v>
      </c>
      <c r="G228" s="1">
        <v>0</v>
      </c>
      <c r="H228" s="1">
        <v>0</v>
      </c>
      <c r="I228" s="1">
        <v>350054</v>
      </c>
      <c r="J228" s="1">
        <v>7.7957999999999998</v>
      </c>
      <c r="L228" s="1" t="s">
        <v>15</v>
      </c>
    </row>
    <row r="229" spans="1:12" x14ac:dyDescent="0.25">
      <c r="A229" s="1">
        <v>1119</v>
      </c>
      <c r="B229" s="1">
        <v>1</v>
      </c>
      <c r="C229" s="1">
        <v>3</v>
      </c>
      <c r="D229" s="1" t="s">
        <v>345</v>
      </c>
      <c r="E229" s="1" t="s">
        <v>14</v>
      </c>
      <c r="G229" s="1">
        <v>0</v>
      </c>
      <c r="H229" s="1">
        <v>0</v>
      </c>
      <c r="I229" s="1">
        <v>370368</v>
      </c>
      <c r="J229" s="1">
        <v>7.75</v>
      </c>
      <c r="L229" s="1" t="s">
        <v>12</v>
      </c>
    </row>
    <row r="230" spans="1:12" x14ac:dyDescent="0.25">
      <c r="A230" s="1">
        <v>1120</v>
      </c>
      <c r="B230" s="1">
        <v>0</v>
      </c>
      <c r="C230" s="1">
        <v>3</v>
      </c>
      <c r="D230" s="1" t="s">
        <v>346</v>
      </c>
      <c r="E230" s="1" t="s">
        <v>11</v>
      </c>
      <c r="F230" s="1">
        <v>40.5</v>
      </c>
      <c r="G230" s="1">
        <v>0</v>
      </c>
      <c r="H230" s="1">
        <v>0</v>
      </c>
      <c r="I230" s="1" t="s">
        <v>347</v>
      </c>
      <c r="J230" s="1">
        <v>15.1</v>
      </c>
      <c r="L230" s="1" t="s">
        <v>15</v>
      </c>
    </row>
    <row r="231" spans="1:12" x14ac:dyDescent="0.25">
      <c r="A231" s="1">
        <v>1121</v>
      </c>
      <c r="B231" s="1">
        <v>0</v>
      </c>
      <c r="C231" s="1">
        <v>2</v>
      </c>
      <c r="D231" s="1" t="s">
        <v>348</v>
      </c>
      <c r="E231" s="1" t="s">
        <v>11</v>
      </c>
      <c r="F231" s="1">
        <v>36</v>
      </c>
      <c r="G231" s="1">
        <v>0</v>
      </c>
      <c r="H231" s="1">
        <v>0</v>
      </c>
      <c r="I231" s="1">
        <v>242963</v>
      </c>
      <c r="J231" s="1">
        <v>13</v>
      </c>
      <c r="L231" s="1" t="s">
        <v>15</v>
      </c>
    </row>
    <row r="232" spans="1:12" x14ac:dyDescent="0.25">
      <c r="A232" s="1">
        <v>1122</v>
      </c>
      <c r="B232" s="1">
        <v>0</v>
      </c>
      <c r="C232" s="1">
        <v>2</v>
      </c>
      <c r="D232" s="1" t="s">
        <v>349</v>
      </c>
      <c r="E232" s="1" t="s">
        <v>11</v>
      </c>
      <c r="F232" s="1">
        <v>14</v>
      </c>
      <c r="G232" s="1">
        <v>0</v>
      </c>
      <c r="H232" s="1">
        <v>0</v>
      </c>
      <c r="I232" s="1">
        <v>220845</v>
      </c>
      <c r="J232" s="1">
        <v>65</v>
      </c>
      <c r="L232" s="1" t="s">
        <v>15</v>
      </c>
    </row>
    <row r="233" spans="1:12" x14ac:dyDescent="0.25">
      <c r="A233" s="1">
        <v>1123</v>
      </c>
      <c r="B233" s="1">
        <v>1</v>
      </c>
      <c r="C233" s="1">
        <v>1</v>
      </c>
      <c r="D233" s="1" t="s">
        <v>350</v>
      </c>
      <c r="E233" s="1" t="s">
        <v>14</v>
      </c>
      <c r="F233" s="1">
        <v>21</v>
      </c>
      <c r="G233" s="1">
        <v>0</v>
      </c>
      <c r="H233" s="1">
        <v>0</v>
      </c>
      <c r="I233" s="1">
        <v>113795</v>
      </c>
      <c r="J233" s="1">
        <v>26.55</v>
      </c>
      <c r="L233" s="1" t="s">
        <v>15</v>
      </c>
    </row>
    <row r="234" spans="1:12" x14ac:dyDescent="0.25">
      <c r="A234" s="1">
        <v>1124</v>
      </c>
      <c r="B234" s="1">
        <v>0</v>
      </c>
      <c r="C234" s="1">
        <v>3</v>
      </c>
      <c r="D234" s="1" t="s">
        <v>351</v>
      </c>
      <c r="E234" s="1" t="s">
        <v>11</v>
      </c>
      <c r="F234" s="1">
        <v>21</v>
      </c>
      <c r="G234" s="1">
        <v>1</v>
      </c>
      <c r="H234" s="1">
        <v>0</v>
      </c>
      <c r="I234" s="1">
        <v>3101266</v>
      </c>
      <c r="J234" s="1">
        <v>6.4958</v>
      </c>
      <c r="L234" s="1" t="s">
        <v>15</v>
      </c>
    </row>
    <row r="235" spans="1:12" x14ac:dyDescent="0.25">
      <c r="A235" s="1">
        <v>1125</v>
      </c>
      <c r="B235" s="1">
        <v>0</v>
      </c>
      <c r="C235" s="1">
        <v>3</v>
      </c>
      <c r="D235" s="1" t="s">
        <v>352</v>
      </c>
      <c r="E235" s="1" t="s">
        <v>11</v>
      </c>
      <c r="G235" s="1">
        <v>0</v>
      </c>
      <c r="H235" s="1">
        <v>0</v>
      </c>
      <c r="I235" s="1">
        <v>330971</v>
      </c>
      <c r="J235" s="1">
        <v>7.8792</v>
      </c>
      <c r="L235" s="1" t="s">
        <v>12</v>
      </c>
    </row>
    <row r="236" spans="1:12" x14ac:dyDescent="0.25">
      <c r="A236" s="1">
        <v>1126</v>
      </c>
      <c r="B236" s="1">
        <v>0</v>
      </c>
      <c r="C236" s="1">
        <v>1</v>
      </c>
      <c r="D236" s="1" t="s">
        <v>353</v>
      </c>
      <c r="E236" s="1" t="s">
        <v>11</v>
      </c>
      <c r="F236" s="1">
        <v>39</v>
      </c>
      <c r="G236" s="1">
        <v>1</v>
      </c>
      <c r="H236" s="1">
        <v>0</v>
      </c>
      <c r="I236" s="1" t="s">
        <v>354</v>
      </c>
      <c r="J236" s="1">
        <v>71.283299999999997</v>
      </c>
      <c r="K236" s="1" t="s">
        <v>355</v>
      </c>
      <c r="L236" s="1" t="s">
        <v>23</v>
      </c>
    </row>
    <row r="237" spans="1:12" x14ac:dyDescent="0.25">
      <c r="A237" s="1">
        <v>1127</v>
      </c>
      <c r="B237" s="1">
        <v>0</v>
      </c>
      <c r="C237" s="1">
        <v>3</v>
      </c>
      <c r="D237" s="1" t="s">
        <v>356</v>
      </c>
      <c r="E237" s="1" t="s">
        <v>11</v>
      </c>
      <c r="F237" s="1">
        <v>20</v>
      </c>
      <c r="G237" s="1">
        <v>0</v>
      </c>
      <c r="H237" s="1">
        <v>0</v>
      </c>
      <c r="I237" s="1">
        <v>350416</v>
      </c>
      <c r="J237" s="1">
        <v>7.8541999999999996</v>
      </c>
      <c r="L237" s="1" t="s">
        <v>15</v>
      </c>
    </row>
    <row r="238" spans="1:12" x14ac:dyDescent="0.25">
      <c r="A238" s="1">
        <v>1128</v>
      </c>
      <c r="B238" s="1">
        <v>0</v>
      </c>
      <c r="C238" s="1">
        <v>1</v>
      </c>
      <c r="D238" s="1" t="s">
        <v>357</v>
      </c>
      <c r="E238" s="1" t="s">
        <v>11</v>
      </c>
      <c r="F238" s="1">
        <v>64</v>
      </c>
      <c r="G238" s="1">
        <v>1</v>
      </c>
      <c r="H238" s="1">
        <v>0</v>
      </c>
      <c r="I238" s="1">
        <v>110813</v>
      </c>
      <c r="J238" s="1">
        <v>75.25</v>
      </c>
      <c r="K238" s="1" t="s">
        <v>358</v>
      </c>
      <c r="L238" s="1" t="s">
        <v>23</v>
      </c>
    </row>
    <row r="239" spans="1:12" x14ac:dyDescent="0.25">
      <c r="A239" s="1">
        <v>1129</v>
      </c>
      <c r="B239" s="1">
        <v>0</v>
      </c>
      <c r="C239" s="1">
        <v>3</v>
      </c>
      <c r="D239" s="1" t="s">
        <v>359</v>
      </c>
      <c r="E239" s="1" t="s">
        <v>11</v>
      </c>
      <c r="F239" s="1">
        <v>20</v>
      </c>
      <c r="G239" s="1">
        <v>0</v>
      </c>
      <c r="H239" s="1">
        <v>0</v>
      </c>
      <c r="I239" s="1">
        <v>2679</v>
      </c>
      <c r="J239" s="1">
        <v>7.2249999999999996</v>
      </c>
      <c r="L239" s="1" t="s">
        <v>23</v>
      </c>
    </row>
    <row r="240" spans="1:12" x14ac:dyDescent="0.25">
      <c r="A240" s="1">
        <v>1130</v>
      </c>
      <c r="B240" s="1">
        <v>1</v>
      </c>
      <c r="C240" s="1">
        <v>2</v>
      </c>
      <c r="D240" s="1" t="s">
        <v>360</v>
      </c>
      <c r="E240" s="1" t="s">
        <v>14</v>
      </c>
      <c r="F240" s="1">
        <v>18</v>
      </c>
      <c r="G240" s="1">
        <v>1</v>
      </c>
      <c r="H240" s="1">
        <v>1</v>
      </c>
      <c r="I240" s="1">
        <v>250650</v>
      </c>
      <c r="J240" s="1">
        <v>13</v>
      </c>
      <c r="L240" s="1" t="s">
        <v>15</v>
      </c>
    </row>
    <row r="241" spans="1:12" x14ac:dyDescent="0.25">
      <c r="A241" s="1">
        <v>1131</v>
      </c>
      <c r="B241" s="1">
        <v>1</v>
      </c>
      <c r="C241" s="1">
        <v>1</v>
      </c>
      <c r="D241" s="1" t="s">
        <v>361</v>
      </c>
      <c r="E241" s="1" t="s">
        <v>14</v>
      </c>
      <c r="F241" s="1">
        <v>48</v>
      </c>
      <c r="G241" s="1">
        <v>1</v>
      </c>
      <c r="H241" s="1">
        <v>0</v>
      </c>
      <c r="I241" s="1" t="s">
        <v>362</v>
      </c>
      <c r="J241" s="1">
        <v>106.425</v>
      </c>
      <c r="K241" s="1" t="s">
        <v>363</v>
      </c>
      <c r="L241" s="1" t="s">
        <v>23</v>
      </c>
    </row>
    <row r="242" spans="1:12" x14ac:dyDescent="0.25">
      <c r="A242" s="1">
        <v>1132</v>
      </c>
      <c r="B242" s="1">
        <v>1</v>
      </c>
      <c r="C242" s="1">
        <v>1</v>
      </c>
      <c r="D242" s="1" t="s">
        <v>364</v>
      </c>
      <c r="E242" s="1" t="s">
        <v>14</v>
      </c>
      <c r="F242" s="1">
        <v>55</v>
      </c>
      <c r="G242" s="1">
        <v>0</v>
      </c>
      <c r="H242" s="1">
        <v>0</v>
      </c>
      <c r="I242" s="1">
        <v>112377</v>
      </c>
      <c r="J242" s="1">
        <v>27.720800000000001</v>
      </c>
      <c r="L242" s="1" t="s">
        <v>23</v>
      </c>
    </row>
    <row r="243" spans="1:12" x14ac:dyDescent="0.25">
      <c r="A243" s="1">
        <v>1133</v>
      </c>
      <c r="B243" s="1">
        <v>1</v>
      </c>
      <c r="C243" s="1">
        <v>2</v>
      </c>
      <c r="D243" s="1" t="s">
        <v>365</v>
      </c>
      <c r="E243" s="1" t="s">
        <v>14</v>
      </c>
      <c r="F243" s="1">
        <v>45</v>
      </c>
      <c r="G243" s="1">
        <v>0</v>
      </c>
      <c r="H243" s="1">
        <v>2</v>
      </c>
      <c r="I243" s="1">
        <v>237789</v>
      </c>
      <c r="J243" s="1">
        <v>30</v>
      </c>
      <c r="L243" s="1" t="s">
        <v>15</v>
      </c>
    </row>
    <row r="244" spans="1:12" x14ac:dyDescent="0.25">
      <c r="A244" s="1">
        <v>1134</v>
      </c>
      <c r="B244" s="1">
        <v>0</v>
      </c>
      <c r="C244" s="1">
        <v>1</v>
      </c>
      <c r="D244" s="1" t="s">
        <v>366</v>
      </c>
      <c r="E244" s="1" t="s">
        <v>11</v>
      </c>
      <c r="F244" s="1">
        <v>45</v>
      </c>
      <c r="G244" s="1">
        <v>1</v>
      </c>
      <c r="H244" s="1">
        <v>1</v>
      </c>
      <c r="I244" s="1">
        <v>16966</v>
      </c>
      <c r="J244" s="1">
        <v>134.5</v>
      </c>
      <c r="K244" s="1" t="s">
        <v>299</v>
      </c>
      <c r="L244" s="1" t="s">
        <v>23</v>
      </c>
    </row>
    <row r="245" spans="1:12" x14ac:dyDescent="0.25">
      <c r="A245" s="1">
        <v>1135</v>
      </c>
      <c r="B245" s="1">
        <v>0</v>
      </c>
      <c r="C245" s="1">
        <v>3</v>
      </c>
      <c r="D245" s="1" t="s">
        <v>367</v>
      </c>
      <c r="E245" s="1" t="s">
        <v>11</v>
      </c>
      <c r="G245" s="1">
        <v>0</v>
      </c>
      <c r="H245" s="1">
        <v>0</v>
      </c>
      <c r="I245" s="1">
        <v>3470</v>
      </c>
      <c r="J245" s="1">
        <v>7.8875000000000002</v>
      </c>
      <c r="L245" s="1" t="s">
        <v>15</v>
      </c>
    </row>
    <row r="246" spans="1:12" x14ac:dyDescent="0.25">
      <c r="A246" s="1">
        <v>1136</v>
      </c>
      <c r="B246" s="1">
        <v>0</v>
      </c>
      <c r="C246" s="1">
        <v>3</v>
      </c>
      <c r="D246" s="1" t="s">
        <v>368</v>
      </c>
      <c r="E246" s="1" t="s">
        <v>11</v>
      </c>
      <c r="G246" s="1">
        <v>1</v>
      </c>
      <c r="H246" s="1">
        <v>2</v>
      </c>
      <c r="I246" s="1" t="s">
        <v>67</v>
      </c>
      <c r="J246" s="1">
        <v>23.45</v>
      </c>
      <c r="L246" s="1" t="s">
        <v>15</v>
      </c>
    </row>
    <row r="247" spans="1:12" x14ac:dyDescent="0.25">
      <c r="A247" s="1">
        <v>1137</v>
      </c>
      <c r="B247" s="1">
        <v>0</v>
      </c>
      <c r="C247" s="1">
        <v>1</v>
      </c>
      <c r="D247" s="1" t="s">
        <v>369</v>
      </c>
      <c r="E247" s="1" t="s">
        <v>11</v>
      </c>
      <c r="F247" s="1">
        <v>41</v>
      </c>
      <c r="G247" s="1">
        <v>1</v>
      </c>
      <c r="H247" s="1">
        <v>0</v>
      </c>
      <c r="I247" s="1">
        <v>17464</v>
      </c>
      <c r="J247" s="1">
        <v>51.862499999999997</v>
      </c>
      <c r="K247" s="1" t="s">
        <v>370</v>
      </c>
      <c r="L247" s="1" t="s">
        <v>15</v>
      </c>
    </row>
    <row r="248" spans="1:12" x14ac:dyDescent="0.25">
      <c r="A248" s="1">
        <v>1138</v>
      </c>
      <c r="B248" s="1">
        <v>1</v>
      </c>
      <c r="C248" s="1">
        <v>2</v>
      </c>
      <c r="D248" s="1" t="s">
        <v>371</v>
      </c>
      <c r="E248" s="1" t="s">
        <v>14</v>
      </c>
      <c r="F248" s="1">
        <v>22</v>
      </c>
      <c r="G248" s="1">
        <v>0</v>
      </c>
      <c r="H248" s="1">
        <v>0</v>
      </c>
      <c r="I248" s="1" t="s">
        <v>115</v>
      </c>
      <c r="J248" s="1">
        <v>21</v>
      </c>
      <c r="L248" s="1" t="s">
        <v>15</v>
      </c>
    </row>
    <row r="249" spans="1:12" x14ac:dyDescent="0.25">
      <c r="A249" s="1">
        <v>1139</v>
      </c>
      <c r="B249" s="1">
        <v>0</v>
      </c>
      <c r="C249" s="1">
        <v>2</v>
      </c>
      <c r="D249" s="1" t="s">
        <v>372</v>
      </c>
      <c r="E249" s="1" t="s">
        <v>11</v>
      </c>
      <c r="F249" s="1">
        <v>42</v>
      </c>
      <c r="G249" s="1">
        <v>1</v>
      </c>
      <c r="H249" s="1">
        <v>1</v>
      </c>
      <c r="I249" s="1">
        <v>28220</v>
      </c>
      <c r="J249" s="1">
        <v>32.5</v>
      </c>
      <c r="L249" s="1" t="s">
        <v>15</v>
      </c>
    </row>
    <row r="250" spans="1:12" x14ac:dyDescent="0.25">
      <c r="A250" s="1">
        <v>1140</v>
      </c>
      <c r="B250" s="1">
        <v>1</v>
      </c>
      <c r="C250" s="1">
        <v>2</v>
      </c>
      <c r="D250" s="1" t="s">
        <v>373</v>
      </c>
      <c r="E250" s="1" t="s">
        <v>14</v>
      </c>
      <c r="F250" s="1">
        <v>29</v>
      </c>
      <c r="G250" s="1">
        <v>1</v>
      </c>
      <c r="H250" s="1">
        <v>0</v>
      </c>
      <c r="I250" s="1">
        <v>26707</v>
      </c>
      <c r="J250" s="1">
        <v>26</v>
      </c>
      <c r="L250" s="1" t="s">
        <v>15</v>
      </c>
    </row>
    <row r="251" spans="1:12" x14ac:dyDescent="0.25">
      <c r="A251" s="1">
        <v>1141</v>
      </c>
      <c r="B251" s="1">
        <v>1</v>
      </c>
      <c r="C251" s="1">
        <v>3</v>
      </c>
      <c r="D251" s="1" t="s">
        <v>374</v>
      </c>
      <c r="E251" s="1" t="s">
        <v>14</v>
      </c>
      <c r="G251" s="1">
        <v>1</v>
      </c>
      <c r="H251" s="1">
        <v>0</v>
      </c>
      <c r="I251" s="1">
        <v>2660</v>
      </c>
      <c r="J251" s="1">
        <v>14.4542</v>
      </c>
      <c r="L251" s="1" t="s">
        <v>23</v>
      </c>
    </row>
    <row r="252" spans="1:12" x14ac:dyDescent="0.25">
      <c r="A252" s="1">
        <v>1142</v>
      </c>
      <c r="B252" s="1">
        <v>1</v>
      </c>
      <c r="C252" s="1">
        <v>2</v>
      </c>
      <c r="D252" s="1" t="s">
        <v>375</v>
      </c>
      <c r="E252" s="1" t="s">
        <v>14</v>
      </c>
      <c r="F252" s="1">
        <v>0.92</v>
      </c>
      <c r="G252" s="1">
        <v>1</v>
      </c>
      <c r="H252" s="1">
        <v>2</v>
      </c>
      <c r="I252" s="1" t="s">
        <v>376</v>
      </c>
      <c r="J252" s="1">
        <v>27.75</v>
      </c>
      <c r="L252" s="1" t="s">
        <v>15</v>
      </c>
    </row>
    <row r="253" spans="1:12" x14ac:dyDescent="0.25">
      <c r="A253" s="1">
        <v>1143</v>
      </c>
      <c r="B253" s="1">
        <v>0</v>
      </c>
      <c r="C253" s="1">
        <v>3</v>
      </c>
      <c r="D253" s="1" t="s">
        <v>377</v>
      </c>
      <c r="E253" s="1" t="s">
        <v>11</v>
      </c>
      <c r="F253" s="1">
        <v>20</v>
      </c>
      <c r="G253" s="1">
        <v>0</v>
      </c>
      <c r="H253" s="1">
        <v>0</v>
      </c>
      <c r="I253" s="1" t="s">
        <v>378</v>
      </c>
      <c r="J253" s="1">
        <v>7.9249999999999998</v>
      </c>
      <c r="L253" s="1" t="s">
        <v>15</v>
      </c>
    </row>
    <row r="254" spans="1:12" x14ac:dyDescent="0.25">
      <c r="A254" s="1">
        <v>1144</v>
      </c>
      <c r="B254" s="1">
        <v>0</v>
      </c>
      <c r="C254" s="1">
        <v>1</v>
      </c>
      <c r="D254" s="1" t="s">
        <v>379</v>
      </c>
      <c r="E254" s="1" t="s">
        <v>11</v>
      </c>
      <c r="F254" s="1">
        <v>27</v>
      </c>
      <c r="G254" s="1">
        <v>1</v>
      </c>
      <c r="H254" s="1">
        <v>0</v>
      </c>
      <c r="I254" s="1">
        <v>13508</v>
      </c>
      <c r="J254" s="1">
        <v>136.7792</v>
      </c>
      <c r="K254" s="1" t="s">
        <v>380</v>
      </c>
      <c r="L254" s="1" t="s">
        <v>23</v>
      </c>
    </row>
    <row r="255" spans="1:12" x14ac:dyDescent="0.25">
      <c r="A255" s="1">
        <v>1145</v>
      </c>
      <c r="B255" s="1">
        <v>0</v>
      </c>
      <c r="C255" s="1">
        <v>3</v>
      </c>
      <c r="D255" s="1" t="s">
        <v>381</v>
      </c>
      <c r="E255" s="1" t="s">
        <v>11</v>
      </c>
      <c r="F255" s="1">
        <v>24</v>
      </c>
      <c r="G255" s="1">
        <v>0</v>
      </c>
      <c r="H255" s="1">
        <v>0</v>
      </c>
      <c r="I255" s="1">
        <v>7266</v>
      </c>
      <c r="J255" s="1">
        <v>9.3249999999999993</v>
      </c>
      <c r="L255" s="1" t="s">
        <v>15</v>
      </c>
    </row>
    <row r="256" spans="1:12" x14ac:dyDescent="0.25">
      <c r="A256" s="1">
        <v>1146</v>
      </c>
      <c r="B256" s="1">
        <v>0</v>
      </c>
      <c r="C256" s="1">
        <v>3</v>
      </c>
      <c r="D256" s="1" t="s">
        <v>382</v>
      </c>
      <c r="E256" s="1" t="s">
        <v>11</v>
      </c>
      <c r="F256" s="1">
        <v>32.5</v>
      </c>
      <c r="G256" s="1">
        <v>0</v>
      </c>
      <c r="H256" s="1">
        <v>0</v>
      </c>
      <c r="I256" s="1">
        <v>345775</v>
      </c>
      <c r="J256" s="1">
        <v>9.5</v>
      </c>
      <c r="L256" s="1" t="s">
        <v>15</v>
      </c>
    </row>
    <row r="257" spans="1:12" x14ac:dyDescent="0.25">
      <c r="A257" s="1">
        <v>1147</v>
      </c>
      <c r="B257" s="1">
        <v>0</v>
      </c>
      <c r="C257" s="1">
        <v>3</v>
      </c>
      <c r="D257" s="1" t="s">
        <v>383</v>
      </c>
      <c r="E257" s="1" t="s">
        <v>11</v>
      </c>
      <c r="G257" s="1">
        <v>0</v>
      </c>
      <c r="H257" s="1">
        <v>0</v>
      </c>
      <c r="I257" s="1" t="s">
        <v>384</v>
      </c>
      <c r="J257" s="1">
        <v>7.55</v>
      </c>
      <c r="L257" s="1" t="s">
        <v>15</v>
      </c>
    </row>
    <row r="258" spans="1:12" x14ac:dyDescent="0.25">
      <c r="A258" s="1">
        <v>1148</v>
      </c>
      <c r="B258" s="1">
        <v>0</v>
      </c>
      <c r="C258" s="1">
        <v>3</v>
      </c>
      <c r="D258" s="1" t="s">
        <v>385</v>
      </c>
      <c r="E258" s="1" t="s">
        <v>11</v>
      </c>
      <c r="G258" s="1">
        <v>0</v>
      </c>
      <c r="H258" s="1">
        <v>0</v>
      </c>
      <c r="I258" s="1" t="s">
        <v>386</v>
      </c>
      <c r="J258" s="1">
        <v>7.75</v>
      </c>
      <c r="L258" s="1" t="s">
        <v>12</v>
      </c>
    </row>
    <row r="259" spans="1:12" x14ac:dyDescent="0.25">
      <c r="A259" s="1">
        <v>1149</v>
      </c>
      <c r="B259" s="1">
        <v>0</v>
      </c>
      <c r="C259" s="1">
        <v>3</v>
      </c>
      <c r="D259" s="1" t="s">
        <v>387</v>
      </c>
      <c r="E259" s="1" t="s">
        <v>11</v>
      </c>
      <c r="F259" s="1">
        <v>28</v>
      </c>
      <c r="G259" s="1">
        <v>0</v>
      </c>
      <c r="H259" s="1">
        <v>0</v>
      </c>
      <c r="I259" s="1">
        <v>363611</v>
      </c>
      <c r="J259" s="1">
        <v>8.0500000000000007</v>
      </c>
      <c r="L259" s="1" t="s">
        <v>15</v>
      </c>
    </row>
    <row r="260" spans="1:12" x14ac:dyDescent="0.25">
      <c r="A260" s="1">
        <v>1150</v>
      </c>
      <c r="B260" s="1">
        <v>1</v>
      </c>
      <c r="C260" s="1">
        <v>2</v>
      </c>
      <c r="D260" s="1" t="s">
        <v>388</v>
      </c>
      <c r="E260" s="1" t="s">
        <v>14</v>
      </c>
      <c r="F260" s="1">
        <v>19</v>
      </c>
      <c r="G260" s="1">
        <v>0</v>
      </c>
      <c r="H260" s="1">
        <v>0</v>
      </c>
      <c r="I260" s="1">
        <v>28404</v>
      </c>
      <c r="J260" s="1">
        <v>13</v>
      </c>
      <c r="L260" s="1" t="s">
        <v>15</v>
      </c>
    </row>
    <row r="261" spans="1:12" x14ac:dyDescent="0.25">
      <c r="A261" s="1">
        <v>1151</v>
      </c>
      <c r="B261" s="1">
        <v>0</v>
      </c>
      <c r="C261" s="1">
        <v>3</v>
      </c>
      <c r="D261" s="1" t="s">
        <v>389</v>
      </c>
      <c r="E261" s="1" t="s">
        <v>11</v>
      </c>
      <c r="F261" s="1">
        <v>21</v>
      </c>
      <c r="G261" s="1">
        <v>0</v>
      </c>
      <c r="H261" s="1">
        <v>0</v>
      </c>
      <c r="I261" s="1">
        <v>345501</v>
      </c>
      <c r="J261" s="1">
        <v>7.7750000000000004</v>
      </c>
      <c r="L261" s="1" t="s">
        <v>15</v>
      </c>
    </row>
    <row r="262" spans="1:12" x14ac:dyDescent="0.25">
      <c r="A262" s="1">
        <v>1152</v>
      </c>
      <c r="B262" s="1">
        <v>0</v>
      </c>
      <c r="C262" s="1">
        <v>3</v>
      </c>
      <c r="D262" s="1" t="s">
        <v>390</v>
      </c>
      <c r="E262" s="1" t="s">
        <v>11</v>
      </c>
      <c r="F262" s="1">
        <v>36.5</v>
      </c>
      <c r="G262" s="1">
        <v>1</v>
      </c>
      <c r="H262" s="1">
        <v>0</v>
      </c>
      <c r="I262" s="1">
        <v>345572</v>
      </c>
      <c r="J262" s="1">
        <v>17.399999999999999</v>
      </c>
      <c r="L262" s="1" t="s">
        <v>15</v>
      </c>
    </row>
    <row r="263" spans="1:12" x14ac:dyDescent="0.25">
      <c r="A263" s="1">
        <v>1153</v>
      </c>
      <c r="B263" s="1">
        <v>0</v>
      </c>
      <c r="C263" s="1">
        <v>3</v>
      </c>
      <c r="D263" s="1" t="s">
        <v>391</v>
      </c>
      <c r="E263" s="1" t="s">
        <v>11</v>
      </c>
      <c r="F263" s="1">
        <v>21</v>
      </c>
      <c r="G263" s="1">
        <v>0</v>
      </c>
      <c r="H263" s="1">
        <v>0</v>
      </c>
      <c r="I263" s="1">
        <v>350410</v>
      </c>
      <c r="J263" s="1">
        <v>7.8541999999999996</v>
      </c>
      <c r="L263" s="1" t="s">
        <v>15</v>
      </c>
    </row>
    <row r="264" spans="1:12" x14ac:dyDescent="0.25">
      <c r="A264" s="1">
        <v>1154</v>
      </c>
      <c r="B264" s="1">
        <v>1</v>
      </c>
      <c r="C264" s="1">
        <v>2</v>
      </c>
      <c r="D264" s="1" t="s">
        <v>392</v>
      </c>
      <c r="E264" s="1" t="s">
        <v>14</v>
      </c>
      <c r="F264" s="1">
        <v>29</v>
      </c>
      <c r="G264" s="1">
        <v>0</v>
      </c>
      <c r="H264" s="1">
        <v>2</v>
      </c>
      <c r="I264" s="1">
        <v>29103</v>
      </c>
      <c r="J264" s="1">
        <v>23</v>
      </c>
      <c r="L264" s="1" t="s">
        <v>15</v>
      </c>
    </row>
    <row r="265" spans="1:12" x14ac:dyDescent="0.25">
      <c r="A265" s="1">
        <v>1155</v>
      </c>
      <c r="B265" s="1">
        <v>1</v>
      </c>
      <c r="C265" s="1">
        <v>3</v>
      </c>
      <c r="D265" s="1" t="s">
        <v>393</v>
      </c>
      <c r="E265" s="1" t="s">
        <v>14</v>
      </c>
      <c r="F265" s="1">
        <v>1</v>
      </c>
      <c r="G265" s="1">
        <v>1</v>
      </c>
      <c r="H265" s="1">
        <v>1</v>
      </c>
      <c r="I265" s="1">
        <v>350405</v>
      </c>
      <c r="J265" s="1">
        <v>12.183299999999999</v>
      </c>
      <c r="L265" s="1" t="s">
        <v>15</v>
      </c>
    </row>
    <row r="266" spans="1:12" x14ac:dyDescent="0.25">
      <c r="A266" s="1">
        <v>1156</v>
      </c>
      <c r="B266" s="1">
        <v>0</v>
      </c>
      <c r="C266" s="1">
        <v>2</v>
      </c>
      <c r="D266" s="1" t="s">
        <v>394</v>
      </c>
      <c r="E266" s="1" t="s">
        <v>11</v>
      </c>
      <c r="F266" s="1">
        <v>30</v>
      </c>
      <c r="G266" s="1">
        <v>0</v>
      </c>
      <c r="H266" s="1">
        <v>0</v>
      </c>
      <c r="I266" s="1" t="s">
        <v>395</v>
      </c>
      <c r="J266" s="1">
        <v>12.737500000000001</v>
      </c>
      <c r="L266" s="1" t="s">
        <v>23</v>
      </c>
    </row>
    <row r="267" spans="1:12" x14ac:dyDescent="0.25">
      <c r="A267" s="1">
        <v>1157</v>
      </c>
      <c r="B267" s="1">
        <v>0</v>
      </c>
      <c r="C267" s="1">
        <v>3</v>
      </c>
      <c r="D267" s="1" t="s">
        <v>396</v>
      </c>
      <c r="E267" s="1" t="s">
        <v>11</v>
      </c>
      <c r="G267" s="1">
        <v>0</v>
      </c>
      <c r="H267" s="1">
        <v>0</v>
      </c>
      <c r="I267" s="1">
        <v>349235</v>
      </c>
      <c r="J267" s="1">
        <v>7.8958000000000004</v>
      </c>
      <c r="L267" s="1" t="s">
        <v>15</v>
      </c>
    </row>
    <row r="268" spans="1:12" x14ac:dyDescent="0.25">
      <c r="A268" s="1">
        <v>1158</v>
      </c>
      <c r="B268" s="1">
        <v>0</v>
      </c>
      <c r="C268" s="1">
        <v>1</v>
      </c>
      <c r="D268" s="1" t="s">
        <v>397</v>
      </c>
      <c r="E268" s="1" t="s">
        <v>11</v>
      </c>
      <c r="G268" s="1">
        <v>0</v>
      </c>
      <c r="H268" s="1">
        <v>0</v>
      </c>
      <c r="I268" s="1">
        <v>112051</v>
      </c>
      <c r="J268" s="1">
        <v>0</v>
      </c>
      <c r="L268" s="1" t="s">
        <v>15</v>
      </c>
    </row>
    <row r="269" spans="1:12" x14ac:dyDescent="0.25">
      <c r="A269" s="1">
        <v>1159</v>
      </c>
      <c r="B269" s="1">
        <v>0</v>
      </c>
      <c r="C269" s="1">
        <v>3</v>
      </c>
      <c r="D269" s="1" t="s">
        <v>398</v>
      </c>
      <c r="E269" s="1" t="s">
        <v>11</v>
      </c>
      <c r="G269" s="1">
        <v>0</v>
      </c>
      <c r="H269" s="1">
        <v>0</v>
      </c>
      <c r="I269" s="1" t="s">
        <v>399</v>
      </c>
      <c r="J269" s="1">
        <v>7.55</v>
      </c>
      <c r="L269" s="1" t="s">
        <v>15</v>
      </c>
    </row>
    <row r="270" spans="1:12" x14ac:dyDescent="0.25">
      <c r="A270" s="1">
        <v>1160</v>
      </c>
      <c r="B270" s="1">
        <v>1</v>
      </c>
      <c r="C270" s="1">
        <v>3</v>
      </c>
      <c r="D270" s="1" t="s">
        <v>400</v>
      </c>
      <c r="E270" s="1" t="s">
        <v>14</v>
      </c>
      <c r="G270" s="1">
        <v>0</v>
      </c>
      <c r="H270" s="1">
        <v>0</v>
      </c>
      <c r="I270" s="1" t="s">
        <v>401</v>
      </c>
      <c r="J270" s="1">
        <v>8.0500000000000007</v>
      </c>
      <c r="L270" s="1" t="s">
        <v>15</v>
      </c>
    </row>
    <row r="271" spans="1:12" x14ac:dyDescent="0.25">
      <c r="A271" s="1">
        <v>1161</v>
      </c>
      <c r="B271" s="1">
        <v>0</v>
      </c>
      <c r="C271" s="1">
        <v>3</v>
      </c>
      <c r="D271" s="1" t="s">
        <v>402</v>
      </c>
      <c r="E271" s="1" t="s">
        <v>11</v>
      </c>
      <c r="F271" s="1">
        <v>17</v>
      </c>
      <c r="G271" s="1">
        <v>0</v>
      </c>
      <c r="H271" s="1">
        <v>0</v>
      </c>
      <c r="I271" s="1">
        <v>315095</v>
      </c>
      <c r="J271" s="1">
        <v>8.6624999999999996</v>
      </c>
      <c r="L271" s="1" t="s">
        <v>15</v>
      </c>
    </row>
    <row r="272" spans="1:12" x14ac:dyDescent="0.25">
      <c r="A272" s="1">
        <v>1162</v>
      </c>
      <c r="B272" s="1">
        <v>0</v>
      </c>
      <c r="C272" s="1">
        <v>1</v>
      </c>
      <c r="D272" s="1" t="s">
        <v>403</v>
      </c>
      <c r="E272" s="1" t="s">
        <v>11</v>
      </c>
      <c r="F272" s="1">
        <v>46</v>
      </c>
      <c r="G272" s="1">
        <v>0</v>
      </c>
      <c r="H272" s="1">
        <v>0</v>
      </c>
      <c r="I272" s="1">
        <v>13050</v>
      </c>
      <c r="J272" s="1">
        <v>75.241699999999994</v>
      </c>
      <c r="K272" s="1" t="s">
        <v>190</v>
      </c>
      <c r="L272" s="1" t="s">
        <v>23</v>
      </c>
    </row>
    <row r="273" spans="1:12" x14ac:dyDescent="0.25">
      <c r="A273" s="1">
        <v>1163</v>
      </c>
      <c r="B273" s="1">
        <v>0</v>
      </c>
      <c r="C273" s="1">
        <v>3</v>
      </c>
      <c r="D273" s="1" t="s">
        <v>404</v>
      </c>
      <c r="E273" s="1" t="s">
        <v>11</v>
      </c>
      <c r="G273" s="1">
        <v>0</v>
      </c>
      <c r="H273" s="1">
        <v>0</v>
      </c>
      <c r="I273" s="1">
        <v>368573</v>
      </c>
      <c r="J273" s="1">
        <v>7.75</v>
      </c>
      <c r="L273" s="1" t="s">
        <v>12</v>
      </c>
    </row>
    <row r="274" spans="1:12" x14ac:dyDescent="0.25">
      <c r="A274" s="1">
        <v>1164</v>
      </c>
      <c r="B274" s="1">
        <v>1</v>
      </c>
      <c r="C274" s="1">
        <v>1</v>
      </c>
      <c r="D274" s="1" t="s">
        <v>405</v>
      </c>
      <c r="E274" s="1" t="s">
        <v>14</v>
      </c>
      <c r="F274" s="1">
        <v>26</v>
      </c>
      <c r="G274" s="1">
        <v>1</v>
      </c>
      <c r="H274" s="1">
        <v>0</v>
      </c>
      <c r="I274" s="1">
        <v>13508</v>
      </c>
      <c r="J274" s="1">
        <v>136.7792</v>
      </c>
      <c r="K274" s="1" t="s">
        <v>380</v>
      </c>
      <c r="L274" s="1" t="s">
        <v>23</v>
      </c>
    </row>
    <row r="275" spans="1:12" x14ac:dyDescent="0.25">
      <c r="A275" s="1">
        <v>1165</v>
      </c>
      <c r="B275" s="1">
        <v>1</v>
      </c>
      <c r="C275" s="1">
        <v>3</v>
      </c>
      <c r="D275" s="1" t="s">
        <v>406</v>
      </c>
      <c r="E275" s="1" t="s">
        <v>14</v>
      </c>
      <c r="G275" s="1">
        <v>1</v>
      </c>
      <c r="H275" s="1">
        <v>0</v>
      </c>
      <c r="I275" s="1">
        <v>370371</v>
      </c>
      <c r="J275" s="1">
        <v>15.5</v>
      </c>
      <c r="L275" s="1" t="s">
        <v>12</v>
      </c>
    </row>
    <row r="276" spans="1:12" x14ac:dyDescent="0.25">
      <c r="A276" s="1">
        <v>1166</v>
      </c>
      <c r="B276" s="1">
        <v>0</v>
      </c>
      <c r="C276" s="1">
        <v>3</v>
      </c>
      <c r="D276" s="1" t="s">
        <v>407</v>
      </c>
      <c r="E276" s="1" t="s">
        <v>11</v>
      </c>
      <c r="G276" s="1">
        <v>0</v>
      </c>
      <c r="H276" s="1">
        <v>0</v>
      </c>
      <c r="I276" s="1">
        <v>2676</v>
      </c>
      <c r="J276" s="1">
        <v>7.2249999999999996</v>
      </c>
      <c r="L276" s="1" t="s">
        <v>23</v>
      </c>
    </row>
    <row r="277" spans="1:12" x14ac:dyDescent="0.25">
      <c r="A277" s="1">
        <v>1167</v>
      </c>
      <c r="B277" s="1">
        <v>1</v>
      </c>
      <c r="C277" s="1">
        <v>2</v>
      </c>
      <c r="D277" s="1" t="s">
        <v>408</v>
      </c>
      <c r="E277" s="1" t="s">
        <v>14</v>
      </c>
      <c r="F277" s="1">
        <v>20</v>
      </c>
      <c r="G277" s="1">
        <v>1</v>
      </c>
      <c r="H277" s="1">
        <v>0</v>
      </c>
      <c r="I277" s="1">
        <v>236853</v>
      </c>
      <c r="J277" s="1">
        <v>26</v>
      </c>
      <c r="L277" s="1" t="s">
        <v>15</v>
      </c>
    </row>
    <row r="278" spans="1:12" x14ac:dyDescent="0.25">
      <c r="A278" s="1">
        <v>1168</v>
      </c>
      <c r="B278" s="1">
        <v>0</v>
      </c>
      <c r="C278" s="1">
        <v>2</v>
      </c>
      <c r="D278" s="1" t="s">
        <v>409</v>
      </c>
      <c r="E278" s="1" t="s">
        <v>11</v>
      </c>
      <c r="F278" s="1">
        <v>28</v>
      </c>
      <c r="G278" s="1">
        <v>0</v>
      </c>
      <c r="H278" s="1">
        <v>0</v>
      </c>
      <c r="I278" s="1" t="s">
        <v>410</v>
      </c>
      <c r="J278" s="1">
        <v>10.5</v>
      </c>
      <c r="L278" s="1" t="s">
        <v>15</v>
      </c>
    </row>
    <row r="279" spans="1:12" x14ac:dyDescent="0.25">
      <c r="A279" s="1">
        <v>1169</v>
      </c>
      <c r="B279" s="1">
        <v>0</v>
      </c>
      <c r="C279" s="1">
        <v>2</v>
      </c>
      <c r="D279" s="1" t="s">
        <v>411</v>
      </c>
      <c r="E279" s="1" t="s">
        <v>11</v>
      </c>
      <c r="F279" s="1">
        <v>40</v>
      </c>
      <c r="G279" s="1">
        <v>1</v>
      </c>
      <c r="H279" s="1">
        <v>0</v>
      </c>
      <c r="I279" s="1">
        <v>2926</v>
      </c>
      <c r="J279" s="1">
        <v>26</v>
      </c>
      <c r="L279" s="1" t="s">
        <v>15</v>
      </c>
    </row>
    <row r="280" spans="1:12" x14ac:dyDescent="0.25">
      <c r="A280" s="1">
        <v>1170</v>
      </c>
      <c r="B280" s="1">
        <v>0</v>
      </c>
      <c r="C280" s="1">
        <v>2</v>
      </c>
      <c r="D280" s="1" t="s">
        <v>412</v>
      </c>
      <c r="E280" s="1" t="s">
        <v>11</v>
      </c>
      <c r="F280" s="1">
        <v>30</v>
      </c>
      <c r="G280" s="1">
        <v>1</v>
      </c>
      <c r="H280" s="1">
        <v>0</v>
      </c>
      <c r="I280" s="1" t="s">
        <v>413</v>
      </c>
      <c r="J280" s="1">
        <v>21</v>
      </c>
      <c r="L280" s="1" t="s">
        <v>15</v>
      </c>
    </row>
    <row r="281" spans="1:12" x14ac:dyDescent="0.25">
      <c r="A281" s="1">
        <v>1171</v>
      </c>
      <c r="B281" s="1">
        <v>0</v>
      </c>
      <c r="C281" s="1">
        <v>2</v>
      </c>
      <c r="D281" s="1" t="s">
        <v>414</v>
      </c>
      <c r="E281" s="1" t="s">
        <v>11</v>
      </c>
      <c r="F281" s="1">
        <v>22</v>
      </c>
      <c r="G281" s="1">
        <v>0</v>
      </c>
      <c r="H281" s="1">
        <v>0</v>
      </c>
      <c r="I281" s="1" t="s">
        <v>415</v>
      </c>
      <c r="J281" s="1">
        <v>10.5</v>
      </c>
      <c r="L281" s="1" t="s">
        <v>15</v>
      </c>
    </row>
    <row r="282" spans="1:12" x14ac:dyDescent="0.25">
      <c r="A282" s="1">
        <v>1172</v>
      </c>
      <c r="B282" s="1">
        <v>1</v>
      </c>
      <c r="C282" s="1">
        <v>3</v>
      </c>
      <c r="D282" s="1" t="s">
        <v>416</v>
      </c>
      <c r="E282" s="1" t="s">
        <v>14</v>
      </c>
      <c r="F282" s="1">
        <v>23</v>
      </c>
      <c r="G282" s="1">
        <v>0</v>
      </c>
      <c r="H282" s="1">
        <v>0</v>
      </c>
      <c r="I282" s="1">
        <v>315085</v>
      </c>
      <c r="J282" s="1">
        <v>8.6624999999999996</v>
      </c>
      <c r="L282" s="1" t="s">
        <v>15</v>
      </c>
    </row>
    <row r="283" spans="1:12" x14ac:dyDescent="0.25">
      <c r="A283" s="1">
        <v>1173</v>
      </c>
      <c r="B283" s="1">
        <v>0</v>
      </c>
      <c r="C283" s="1">
        <v>3</v>
      </c>
      <c r="D283" s="1" t="s">
        <v>417</v>
      </c>
      <c r="E283" s="1" t="s">
        <v>11</v>
      </c>
      <c r="F283" s="1">
        <v>0.75</v>
      </c>
      <c r="G283" s="1">
        <v>1</v>
      </c>
      <c r="H283" s="1">
        <v>1</v>
      </c>
      <c r="I283" s="1" t="s">
        <v>245</v>
      </c>
      <c r="J283" s="1">
        <v>13.775</v>
      </c>
      <c r="L283" s="1" t="s">
        <v>15</v>
      </c>
    </row>
    <row r="284" spans="1:12" x14ac:dyDescent="0.25">
      <c r="A284" s="1">
        <v>1174</v>
      </c>
      <c r="B284" s="1">
        <v>1</v>
      </c>
      <c r="C284" s="1">
        <v>3</v>
      </c>
      <c r="D284" s="1" t="s">
        <v>418</v>
      </c>
      <c r="E284" s="1" t="s">
        <v>14</v>
      </c>
      <c r="G284" s="1">
        <v>0</v>
      </c>
      <c r="H284" s="1">
        <v>0</v>
      </c>
      <c r="I284" s="1">
        <v>364859</v>
      </c>
      <c r="J284" s="1">
        <v>7.75</v>
      </c>
      <c r="L284" s="1" t="s">
        <v>12</v>
      </c>
    </row>
    <row r="285" spans="1:12" x14ac:dyDescent="0.25">
      <c r="A285" s="1">
        <v>1175</v>
      </c>
      <c r="B285" s="1">
        <v>1</v>
      </c>
      <c r="C285" s="1">
        <v>3</v>
      </c>
      <c r="D285" s="1" t="s">
        <v>419</v>
      </c>
      <c r="E285" s="1" t="s">
        <v>14</v>
      </c>
      <c r="F285" s="1">
        <v>9</v>
      </c>
      <c r="G285" s="1">
        <v>1</v>
      </c>
      <c r="H285" s="1">
        <v>1</v>
      </c>
      <c r="I285" s="1">
        <v>2650</v>
      </c>
      <c r="J285" s="1">
        <v>15.245799999999999</v>
      </c>
      <c r="L285" s="1" t="s">
        <v>23</v>
      </c>
    </row>
    <row r="286" spans="1:12" x14ac:dyDescent="0.25">
      <c r="A286" s="1">
        <v>1176</v>
      </c>
      <c r="B286" s="1">
        <v>1</v>
      </c>
      <c r="C286" s="1">
        <v>3</v>
      </c>
      <c r="D286" s="1" t="s">
        <v>420</v>
      </c>
      <c r="E286" s="1" t="s">
        <v>14</v>
      </c>
      <c r="F286" s="1">
        <v>2</v>
      </c>
      <c r="G286" s="1">
        <v>1</v>
      </c>
      <c r="H286" s="1">
        <v>1</v>
      </c>
      <c r="I286" s="1">
        <v>370129</v>
      </c>
      <c r="J286" s="1">
        <v>20.212499999999999</v>
      </c>
      <c r="L286" s="1" t="s">
        <v>15</v>
      </c>
    </row>
    <row r="287" spans="1:12" x14ac:dyDescent="0.25">
      <c r="A287" s="1">
        <v>1177</v>
      </c>
      <c r="B287" s="1">
        <v>0</v>
      </c>
      <c r="C287" s="1">
        <v>3</v>
      </c>
      <c r="D287" s="1" t="s">
        <v>421</v>
      </c>
      <c r="E287" s="1" t="s">
        <v>11</v>
      </c>
      <c r="F287" s="1">
        <v>36</v>
      </c>
      <c r="G287" s="1">
        <v>0</v>
      </c>
      <c r="H287" s="1">
        <v>0</v>
      </c>
      <c r="I287" s="1" t="s">
        <v>422</v>
      </c>
      <c r="J287" s="1">
        <v>7.25</v>
      </c>
      <c r="L287" s="1" t="s">
        <v>15</v>
      </c>
    </row>
    <row r="288" spans="1:12" x14ac:dyDescent="0.25">
      <c r="A288" s="1">
        <v>1178</v>
      </c>
      <c r="B288" s="1">
        <v>0</v>
      </c>
      <c r="C288" s="1">
        <v>3</v>
      </c>
      <c r="D288" s="1" t="s">
        <v>423</v>
      </c>
      <c r="E288" s="1" t="s">
        <v>11</v>
      </c>
      <c r="G288" s="1">
        <v>0</v>
      </c>
      <c r="H288" s="1">
        <v>0</v>
      </c>
      <c r="I288" s="1" t="s">
        <v>424</v>
      </c>
      <c r="J288" s="1">
        <v>7.25</v>
      </c>
      <c r="L288" s="1" t="s">
        <v>15</v>
      </c>
    </row>
    <row r="289" spans="1:12" x14ac:dyDescent="0.25">
      <c r="A289" s="1">
        <v>1179</v>
      </c>
      <c r="B289" s="1">
        <v>0</v>
      </c>
      <c r="C289" s="1">
        <v>1</v>
      </c>
      <c r="D289" s="1" t="s">
        <v>425</v>
      </c>
      <c r="E289" s="1" t="s">
        <v>11</v>
      </c>
      <c r="F289" s="1">
        <v>24</v>
      </c>
      <c r="G289" s="1">
        <v>1</v>
      </c>
      <c r="H289" s="1">
        <v>0</v>
      </c>
      <c r="I289" s="1">
        <v>21228</v>
      </c>
      <c r="J289" s="1">
        <v>82.2667</v>
      </c>
      <c r="K289" s="1" t="s">
        <v>29</v>
      </c>
      <c r="L289" s="1" t="s">
        <v>15</v>
      </c>
    </row>
    <row r="290" spans="1:12" x14ac:dyDescent="0.25">
      <c r="A290" s="1">
        <v>1180</v>
      </c>
      <c r="B290" s="1">
        <v>0</v>
      </c>
      <c r="C290" s="1">
        <v>3</v>
      </c>
      <c r="D290" s="1" t="s">
        <v>426</v>
      </c>
      <c r="E290" s="1" t="s">
        <v>11</v>
      </c>
      <c r="G290" s="1">
        <v>0</v>
      </c>
      <c r="H290" s="1">
        <v>0</v>
      </c>
      <c r="I290" s="1">
        <v>2655</v>
      </c>
      <c r="J290" s="1">
        <v>7.2291999999999996</v>
      </c>
      <c r="K290" s="1" t="s">
        <v>427</v>
      </c>
      <c r="L290" s="1" t="s">
        <v>23</v>
      </c>
    </row>
    <row r="291" spans="1:12" x14ac:dyDescent="0.25">
      <c r="A291" s="1">
        <v>1181</v>
      </c>
      <c r="B291" s="1">
        <v>0</v>
      </c>
      <c r="C291" s="1">
        <v>3</v>
      </c>
      <c r="D291" s="1" t="s">
        <v>428</v>
      </c>
      <c r="E291" s="1" t="s">
        <v>11</v>
      </c>
      <c r="G291" s="1">
        <v>0</v>
      </c>
      <c r="H291" s="1">
        <v>0</v>
      </c>
      <c r="I291" s="1" t="s">
        <v>429</v>
      </c>
      <c r="J291" s="1">
        <v>8.0500000000000007</v>
      </c>
      <c r="L291" s="1" t="s">
        <v>15</v>
      </c>
    </row>
    <row r="292" spans="1:12" x14ac:dyDescent="0.25">
      <c r="A292" s="1">
        <v>1182</v>
      </c>
      <c r="B292" s="1">
        <v>0</v>
      </c>
      <c r="C292" s="1">
        <v>1</v>
      </c>
      <c r="D292" s="1" t="s">
        <v>430</v>
      </c>
      <c r="E292" s="1" t="s">
        <v>11</v>
      </c>
      <c r="G292" s="1">
        <v>0</v>
      </c>
      <c r="H292" s="1">
        <v>0</v>
      </c>
      <c r="I292" s="1" t="s">
        <v>431</v>
      </c>
      <c r="J292" s="1">
        <v>39.6</v>
      </c>
      <c r="L292" s="1" t="s">
        <v>15</v>
      </c>
    </row>
    <row r="293" spans="1:12" x14ac:dyDescent="0.25">
      <c r="A293" s="1">
        <v>1183</v>
      </c>
      <c r="B293" s="1">
        <v>1</v>
      </c>
      <c r="C293" s="1">
        <v>3</v>
      </c>
      <c r="D293" s="1" t="s">
        <v>432</v>
      </c>
      <c r="E293" s="1" t="s">
        <v>14</v>
      </c>
      <c r="F293" s="1">
        <v>30</v>
      </c>
      <c r="G293" s="1">
        <v>0</v>
      </c>
      <c r="H293" s="1">
        <v>0</v>
      </c>
      <c r="I293" s="1">
        <v>382650</v>
      </c>
      <c r="J293" s="1">
        <v>6.95</v>
      </c>
      <c r="L293" s="1" t="s">
        <v>12</v>
      </c>
    </row>
    <row r="294" spans="1:12" x14ac:dyDescent="0.25">
      <c r="A294" s="1">
        <v>1184</v>
      </c>
      <c r="B294" s="1">
        <v>0</v>
      </c>
      <c r="C294" s="1">
        <v>3</v>
      </c>
      <c r="D294" s="1" t="s">
        <v>433</v>
      </c>
      <c r="E294" s="1" t="s">
        <v>11</v>
      </c>
      <c r="G294" s="1">
        <v>0</v>
      </c>
      <c r="H294" s="1">
        <v>0</v>
      </c>
      <c r="I294" s="1">
        <v>2652</v>
      </c>
      <c r="J294" s="1">
        <v>7.2291999999999996</v>
      </c>
      <c r="L294" s="1" t="s">
        <v>23</v>
      </c>
    </row>
    <row r="295" spans="1:12" x14ac:dyDescent="0.25">
      <c r="A295" s="1">
        <v>1185</v>
      </c>
      <c r="B295" s="1">
        <v>0</v>
      </c>
      <c r="C295" s="1">
        <v>1</v>
      </c>
      <c r="D295" s="1" t="s">
        <v>434</v>
      </c>
      <c r="E295" s="1" t="s">
        <v>11</v>
      </c>
      <c r="F295" s="1">
        <v>53</v>
      </c>
      <c r="G295" s="1">
        <v>1</v>
      </c>
      <c r="H295" s="1">
        <v>1</v>
      </c>
      <c r="I295" s="1">
        <v>33638</v>
      </c>
      <c r="J295" s="1">
        <v>81.8583</v>
      </c>
      <c r="K295" s="1" t="s">
        <v>435</v>
      </c>
      <c r="L295" s="1" t="s">
        <v>15</v>
      </c>
    </row>
    <row r="296" spans="1:12" x14ac:dyDescent="0.25">
      <c r="A296" s="1">
        <v>1186</v>
      </c>
      <c r="B296" s="1">
        <v>0</v>
      </c>
      <c r="C296" s="1">
        <v>3</v>
      </c>
      <c r="D296" s="1" t="s">
        <v>436</v>
      </c>
      <c r="E296" s="1" t="s">
        <v>11</v>
      </c>
      <c r="F296" s="1">
        <v>36</v>
      </c>
      <c r="G296" s="1">
        <v>0</v>
      </c>
      <c r="H296" s="1">
        <v>0</v>
      </c>
      <c r="I296" s="1">
        <v>345771</v>
      </c>
      <c r="J296" s="1">
        <v>9.5</v>
      </c>
      <c r="L296" s="1" t="s">
        <v>15</v>
      </c>
    </row>
    <row r="297" spans="1:12" x14ac:dyDescent="0.25">
      <c r="A297" s="1">
        <v>1187</v>
      </c>
      <c r="B297" s="1">
        <v>0</v>
      </c>
      <c r="C297" s="1">
        <v>3</v>
      </c>
      <c r="D297" s="1" t="s">
        <v>437</v>
      </c>
      <c r="E297" s="1" t="s">
        <v>11</v>
      </c>
      <c r="F297" s="1">
        <v>26</v>
      </c>
      <c r="G297" s="1">
        <v>0</v>
      </c>
      <c r="H297" s="1">
        <v>0</v>
      </c>
      <c r="I297" s="1">
        <v>349202</v>
      </c>
      <c r="J297" s="1">
        <v>7.8958000000000004</v>
      </c>
      <c r="L297" s="1" t="s">
        <v>15</v>
      </c>
    </row>
    <row r="298" spans="1:12" x14ac:dyDescent="0.25">
      <c r="A298" s="1">
        <v>1188</v>
      </c>
      <c r="B298" s="1">
        <v>1</v>
      </c>
      <c r="C298" s="1">
        <v>2</v>
      </c>
      <c r="D298" s="1" t="s">
        <v>438</v>
      </c>
      <c r="E298" s="1" t="s">
        <v>14</v>
      </c>
      <c r="F298" s="1">
        <v>1</v>
      </c>
      <c r="G298" s="1">
        <v>1</v>
      </c>
      <c r="H298" s="1">
        <v>2</v>
      </c>
      <c r="I298" s="1" t="s">
        <v>439</v>
      </c>
      <c r="J298" s="1">
        <v>41.5792</v>
      </c>
      <c r="L298" s="1" t="s">
        <v>23</v>
      </c>
    </row>
    <row r="299" spans="1:12" x14ac:dyDescent="0.25">
      <c r="A299" s="1">
        <v>1189</v>
      </c>
      <c r="B299" s="1">
        <v>0</v>
      </c>
      <c r="C299" s="1">
        <v>3</v>
      </c>
      <c r="D299" s="1" t="s">
        <v>440</v>
      </c>
      <c r="E299" s="1" t="s">
        <v>11</v>
      </c>
      <c r="G299" s="1">
        <v>2</v>
      </c>
      <c r="H299" s="1">
        <v>0</v>
      </c>
      <c r="I299" s="1">
        <v>2662</v>
      </c>
      <c r="J299" s="1">
        <v>21.679200000000002</v>
      </c>
      <c r="L299" s="1" t="s">
        <v>23</v>
      </c>
    </row>
    <row r="300" spans="1:12" x14ac:dyDescent="0.25">
      <c r="A300" s="1">
        <v>1190</v>
      </c>
      <c r="B300" s="1">
        <v>0</v>
      </c>
      <c r="C300" s="1">
        <v>1</v>
      </c>
      <c r="D300" s="1" t="s">
        <v>441</v>
      </c>
      <c r="E300" s="1" t="s">
        <v>11</v>
      </c>
      <c r="F300" s="1">
        <v>30</v>
      </c>
      <c r="G300" s="1">
        <v>0</v>
      </c>
      <c r="H300" s="1">
        <v>0</v>
      </c>
      <c r="I300" s="1">
        <v>113801</v>
      </c>
      <c r="J300" s="1">
        <v>45.5</v>
      </c>
      <c r="L300" s="1" t="s">
        <v>15</v>
      </c>
    </row>
    <row r="301" spans="1:12" x14ac:dyDescent="0.25">
      <c r="A301" s="1">
        <v>1191</v>
      </c>
      <c r="B301" s="1">
        <v>0</v>
      </c>
      <c r="C301" s="1">
        <v>3</v>
      </c>
      <c r="D301" s="1" t="s">
        <v>442</v>
      </c>
      <c r="E301" s="1" t="s">
        <v>11</v>
      </c>
      <c r="F301" s="1">
        <v>29</v>
      </c>
      <c r="G301" s="1">
        <v>0</v>
      </c>
      <c r="H301" s="1">
        <v>0</v>
      </c>
      <c r="I301" s="1">
        <v>347467</v>
      </c>
      <c r="J301" s="1">
        <v>7.8541999999999996</v>
      </c>
      <c r="L301" s="1" t="s">
        <v>15</v>
      </c>
    </row>
    <row r="302" spans="1:12" x14ac:dyDescent="0.25">
      <c r="A302" s="1">
        <v>1192</v>
      </c>
      <c r="B302" s="1">
        <v>0</v>
      </c>
      <c r="C302" s="1">
        <v>3</v>
      </c>
      <c r="D302" s="1" t="s">
        <v>443</v>
      </c>
      <c r="E302" s="1" t="s">
        <v>11</v>
      </c>
      <c r="F302" s="1">
        <v>32</v>
      </c>
      <c r="G302" s="1">
        <v>0</v>
      </c>
      <c r="H302" s="1">
        <v>0</v>
      </c>
      <c r="I302" s="1">
        <v>347079</v>
      </c>
      <c r="J302" s="1">
        <v>7.7750000000000004</v>
      </c>
      <c r="L302" s="1" t="s">
        <v>15</v>
      </c>
    </row>
    <row r="303" spans="1:12" x14ac:dyDescent="0.25">
      <c r="A303" s="1">
        <v>1193</v>
      </c>
      <c r="B303" s="1">
        <v>0</v>
      </c>
      <c r="C303" s="1">
        <v>2</v>
      </c>
      <c r="D303" s="1" t="s">
        <v>444</v>
      </c>
      <c r="E303" s="1" t="s">
        <v>11</v>
      </c>
      <c r="G303" s="1">
        <v>0</v>
      </c>
      <c r="H303" s="1">
        <v>0</v>
      </c>
      <c r="I303" s="1">
        <v>237735</v>
      </c>
      <c r="J303" s="1">
        <v>15.0458</v>
      </c>
      <c r="K303" s="1" t="s">
        <v>445</v>
      </c>
      <c r="L303" s="1" t="s">
        <v>23</v>
      </c>
    </row>
    <row r="304" spans="1:12" x14ac:dyDescent="0.25">
      <c r="A304" s="1">
        <v>1194</v>
      </c>
      <c r="B304" s="1">
        <v>0</v>
      </c>
      <c r="C304" s="1">
        <v>2</v>
      </c>
      <c r="D304" s="1" t="s">
        <v>446</v>
      </c>
      <c r="E304" s="1" t="s">
        <v>11</v>
      </c>
      <c r="F304" s="1">
        <v>43</v>
      </c>
      <c r="G304" s="1">
        <v>0</v>
      </c>
      <c r="H304" s="1">
        <v>1</v>
      </c>
      <c r="I304" s="1" t="s">
        <v>285</v>
      </c>
      <c r="J304" s="1">
        <v>21</v>
      </c>
      <c r="L304" s="1" t="s">
        <v>15</v>
      </c>
    </row>
    <row r="305" spans="1:12" x14ac:dyDescent="0.25">
      <c r="A305" s="1">
        <v>1195</v>
      </c>
      <c r="B305" s="1">
        <v>0</v>
      </c>
      <c r="C305" s="1">
        <v>3</v>
      </c>
      <c r="D305" s="1" t="s">
        <v>447</v>
      </c>
      <c r="E305" s="1" t="s">
        <v>11</v>
      </c>
      <c r="F305" s="1">
        <v>24</v>
      </c>
      <c r="G305" s="1">
        <v>0</v>
      </c>
      <c r="H305" s="1">
        <v>0</v>
      </c>
      <c r="I305" s="1">
        <v>315092</v>
      </c>
      <c r="J305" s="1">
        <v>8.6624999999999996</v>
      </c>
      <c r="L305" s="1" t="s">
        <v>15</v>
      </c>
    </row>
    <row r="306" spans="1:12" x14ac:dyDescent="0.25">
      <c r="A306" s="1">
        <v>1196</v>
      </c>
      <c r="B306" s="1">
        <v>1</v>
      </c>
      <c r="C306" s="1">
        <v>3</v>
      </c>
      <c r="D306" s="1" t="s">
        <v>448</v>
      </c>
      <c r="E306" s="1" t="s">
        <v>14</v>
      </c>
      <c r="G306" s="1">
        <v>0</v>
      </c>
      <c r="H306" s="1">
        <v>0</v>
      </c>
      <c r="I306" s="1">
        <v>383123</v>
      </c>
      <c r="J306" s="1">
        <v>7.75</v>
      </c>
      <c r="L306" s="1" t="s">
        <v>12</v>
      </c>
    </row>
    <row r="307" spans="1:12" x14ac:dyDescent="0.25">
      <c r="A307" s="1">
        <v>1197</v>
      </c>
      <c r="B307" s="1">
        <v>1</v>
      </c>
      <c r="C307" s="1">
        <v>1</v>
      </c>
      <c r="D307" s="1" t="s">
        <v>449</v>
      </c>
      <c r="E307" s="1" t="s">
        <v>14</v>
      </c>
      <c r="F307" s="1">
        <v>64</v>
      </c>
      <c r="G307" s="1">
        <v>1</v>
      </c>
      <c r="H307" s="1">
        <v>1</v>
      </c>
      <c r="I307" s="1">
        <v>112901</v>
      </c>
      <c r="J307" s="1">
        <v>26.55</v>
      </c>
      <c r="K307" s="1" t="s">
        <v>450</v>
      </c>
      <c r="L307" s="1" t="s">
        <v>15</v>
      </c>
    </row>
    <row r="308" spans="1:12" x14ac:dyDescent="0.25">
      <c r="A308" s="1">
        <v>1198</v>
      </c>
      <c r="B308" s="1">
        <v>0</v>
      </c>
      <c r="C308" s="1">
        <v>1</v>
      </c>
      <c r="D308" s="1" t="s">
        <v>451</v>
      </c>
      <c r="E308" s="1" t="s">
        <v>11</v>
      </c>
      <c r="F308" s="1">
        <v>30</v>
      </c>
      <c r="G308" s="1">
        <v>1</v>
      </c>
      <c r="H308" s="1">
        <v>2</v>
      </c>
      <c r="I308" s="1">
        <v>113781</v>
      </c>
      <c r="J308" s="1">
        <v>151.55000000000001</v>
      </c>
      <c r="K308" s="1" t="s">
        <v>452</v>
      </c>
      <c r="L308" s="1" t="s">
        <v>15</v>
      </c>
    </row>
    <row r="309" spans="1:12" x14ac:dyDescent="0.25">
      <c r="A309" s="1">
        <v>1199</v>
      </c>
      <c r="B309" s="1">
        <v>0</v>
      </c>
      <c r="C309" s="1">
        <v>3</v>
      </c>
      <c r="D309" s="1" t="s">
        <v>453</v>
      </c>
      <c r="E309" s="1" t="s">
        <v>11</v>
      </c>
      <c r="F309" s="1">
        <v>0.83</v>
      </c>
      <c r="G309" s="1">
        <v>0</v>
      </c>
      <c r="H309" s="1">
        <v>1</v>
      </c>
      <c r="I309" s="1">
        <v>392091</v>
      </c>
      <c r="J309" s="1">
        <v>9.35</v>
      </c>
      <c r="L309" s="1" t="s">
        <v>15</v>
      </c>
    </row>
    <row r="310" spans="1:12" x14ac:dyDescent="0.25">
      <c r="A310" s="1">
        <v>1200</v>
      </c>
      <c r="B310" s="1">
        <v>0</v>
      </c>
      <c r="C310" s="1">
        <v>1</v>
      </c>
      <c r="D310" s="1" t="s">
        <v>454</v>
      </c>
      <c r="E310" s="1" t="s">
        <v>11</v>
      </c>
      <c r="F310" s="1">
        <v>55</v>
      </c>
      <c r="G310" s="1">
        <v>1</v>
      </c>
      <c r="H310" s="1">
        <v>1</v>
      </c>
      <c r="I310" s="1">
        <v>12749</v>
      </c>
      <c r="J310" s="1">
        <v>93.5</v>
      </c>
      <c r="K310" s="1" t="s">
        <v>455</v>
      </c>
      <c r="L310" s="1" t="s">
        <v>15</v>
      </c>
    </row>
    <row r="311" spans="1:12" x14ac:dyDescent="0.25">
      <c r="A311" s="1">
        <v>1201</v>
      </c>
      <c r="B311" s="1">
        <v>1</v>
      </c>
      <c r="C311" s="1">
        <v>3</v>
      </c>
      <c r="D311" s="1" t="s">
        <v>456</v>
      </c>
      <c r="E311" s="1" t="s">
        <v>14</v>
      </c>
      <c r="F311" s="1">
        <v>45</v>
      </c>
      <c r="G311" s="1">
        <v>1</v>
      </c>
      <c r="H311" s="1">
        <v>0</v>
      </c>
      <c r="I311" s="1">
        <v>350026</v>
      </c>
      <c r="J311" s="1">
        <v>14.1083</v>
      </c>
      <c r="L311" s="1" t="s">
        <v>15</v>
      </c>
    </row>
    <row r="312" spans="1:12" x14ac:dyDescent="0.25">
      <c r="A312" s="1">
        <v>1202</v>
      </c>
      <c r="B312" s="1">
        <v>0</v>
      </c>
      <c r="C312" s="1">
        <v>3</v>
      </c>
      <c r="D312" s="1" t="s">
        <v>457</v>
      </c>
      <c r="E312" s="1" t="s">
        <v>11</v>
      </c>
      <c r="F312" s="1">
        <v>18</v>
      </c>
      <c r="G312" s="1">
        <v>0</v>
      </c>
      <c r="H312" s="1">
        <v>0</v>
      </c>
      <c r="I312" s="1">
        <v>315091</v>
      </c>
      <c r="J312" s="1">
        <v>8.6624999999999996</v>
      </c>
      <c r="L312" s="1" t="s">
        <v>15</v>
      </c>
    </row>
    <row r="313" spans="1:12" x14ac:dyDescent="0.25">
      <c r="A313" s="1">
        <v>1203</v>
      </c>
      <c r="B313" s="1">
        <v>0</v>
      </c>
      <c r="C313" s="1">
        <v>3</v>
      </c>
      <c r="D313" s="1" t="s">
        <v>458</v>
      </c>
      <c r="E313" s="1" t="s">
        <v>11</v>
      </c>
      <c r="F313" s="1">
        <v>22</v>
      </c>
      <c r="G313" s="1">
        <v>0</v>
      </c>
      <c r="H313" s="1">
        <v>0</v>
      </c>
      <c r="I313" s="1">
        <v>2658</v>
      </c>
      <c r="J313" s="1">
        <v>7.2249999999999996</v>
      </c>
      <c r="L313" s="1" t="s">
        <v>23</v>
      </c>
    </row>
    <row r="314" spans="1:12" x14ac:dyDescent="0.25">
      <c r="A314" s="1">
        <v>1204</v>
      </c>
      <c r="B314" s="1">
        <v>0</v>
      </c>
      <c r="C314" s="1">
        <v>3</v>
      </c>
      <c r="D314" s="1" t="s">
        <v>459</v>
      </c>
      <c r="E314" s="1" t="s">
        <v>11</v>
      </c>
      <c r="G314" s="1">
        <v>0</v>
      </c>
      <c r="H314" s="1">
        <v>0</v>
      </c>
      <c r="I314" s="1" t="s">
        <v>460</v>
      </c>
      <c r="J314" s="1">
        <v>7.5750000000000002</v>
      </c>
      <c r="L314" s="1" t="s">
        <v>15</v>
      </c>
    </row>
    <row r="315" spans="1:12" x14ac:dyDescent="0.25">
      <c r="A315" s="1">
        <v>1205</v>
      </c>
      <c r="B315" s="1">
        <v>1</v>
      </c>
      <c r="C315" s="1">
        <v>3</v>
      </c>
      <c r="D315" s="1" t="s">
        <v>461</v>
      </c>
      <c r="E315" s="1" t="s">
        <v>14</v>
      </c>
      <c r="F315" s="1">
        <v>37</v>
      </c>
      <c r="G315" s="1">
        <v>0</v>
      </c>
      <c r="H315" s="1">
        <v>0</v>
      </c>
      <c r="I315" s="1">
        <v>368364</v>
      </c>
      <c r="J315" s="1">
        <v>7.75</v>
      </c>
      <c r="L315" s="1" t="s">
        <v>12</v>
      </c>
    </row>
    <row r="316" spans="1:12" x14ac:dyDescent="0.25">
      <c r="A316" s="1">
        <v>1206</v>
      </c>
      <c r="B316" s="1">
        <v>1</v>
      </c>
      <c r="C316" s="1">
        <v>1</v>
      </c>
      <c r="D316" s="1" t="s">
        <v>462</v>
      </c>
      <c r="E316" s="1" t="s">
        <v>14</v>
      </c>
      <c r="F316" s="1">
        <v>55</v>
      </c>
      <c r="G316" s="1">
        <v>0</v>
      </c>
      <c r="H316" s="1">
        <v>0</v>
      </c>
      <c r="I316" s="1" t="s">
        <v>463</v>
      </c>
      <c r="J316" s="1">
        <v>135.63329999999999</v>
      </c>
      <c r="K316" s="1" t="s">
        <v>464</v>
      </c>
      <c r="L316" s="1" t="s">
        <v>23</v>
      </c>
    </row>
    <row r="317" spans="1:12" x14ac:dyDescent="0.25">
      <c r="A317" s="1">
        <v>1207</v>
      </c>
      <c r="B317" s="1">
        <v>1</v>
      </c>
      <c r="C317" s="1">
        <v>3</v>
      </c>
      <c r="D317" s="1" t="s">
        <v>465</v>
      </c>
      <c r="E317" s="1" t="s">
        <v>14</v>
      </c>
      <c r="F317" s="1">
        <v>17</v>
      </c>
      <c r="G317" s="1">
        <v>0</v>
      </c>
      <c r="H317" s="1">
        <v>0</v>
      </c>
      <c r="I317" s="1" t="s">
        <v>466</v>
      </c>
      <c r="J317" s="1">
        <v>7.7332999999999998</v>
      </c>
      <c r="L317" s="1" t="s">
        <v>12</v>
      </c>
    </row>
    <row r="318" spans="1:12" x14ac:dyDescent="0.25">
      <c r="A318" s="1">
        <v>1208</v>
      </c>
      <c r="B318" s="1">
        <v>0</v>
      </c>
      <c r="C318" s="1">
        <v>1</v>
      </c>
      <c r="D318" s="1" t="s">
        <v>467</v>
      </c>
      <c r="E318" s="1" t="s">
        <v>11</v>
      </c>
      <c r="F318" s="1">
        <v>57</v>
      </c>
      <c r="G318" s="1">
        <v>1</v>
      </c>
      <c r="H318" s="1">
        <v>0</v>
      </c>
      <c r="I318" s="1" t="s">
        <v>468</v>
      </c>
      <c r="J318" s="1">
        <v>146.52080000000001</v>
      </c>
      <c r="K318" s="1" t="s">
        <v>469</v>
      </c>
      <c r="L318" s="1" t="s">
        <v>23</v>
      </c>
    </row>
    <row r="319" spans="1:12" x14ac:dyDescent="0.25">
      <c r="A319" s="1">
        <v>1209</v>
      </c>
      <c r="B319" s="1">
        <v>0</v>
      </c>
      <c r="C319" s="1">
        <v>2</v>
      </c>
      <c r="D319" s="1" t="s">
        <v>470</v>
      </c>
      <c r="E319" s="1" t="s">
        <v>11</v>
      </c>
      <c r="F319" s="1">
        <v>19</v>
      </c>
      <c r="G319" s="1">
        <v>0</v>
      </c>
      <c r="H319" s="1">
        <v>0</v>
      </c>
      <c r="I319" s="1">
        <v>28004</v>
      </c>
      <c r="J319" s="1">
        <v>10.5</v>
      </c>
      <c r="L319" s="1" t="s">
        <v>15</v>
      </c>
    </row>
    <row r="320" spans="1:12" x14ac:dyDescent="0.25">
      <c r="A320" s="1">
        <v>1210</v>
      </c>
      <c r="B320" s="1">
        <v>0</v>
      </c>
      <c r="C320" s="1">
        <v>3</v>
      </c>
      <c r="D320" s="1" t="s">
        <v>471</v>
      </c>
      <c r="E320" s="1" t="s">
        <v>11</v>
      </c>
      <c r="F320" s="1">
        <v>27</v>
      </c>
      <c r="G320" s="1">
        <v>0</v>
      </c>
      <c r="H320" s="1">
        <v>0</v>
      </c>
      <c r="I320" s="1">
        <v>350408</v>
      </c>
      <c r="J320" s="1">
        <v>7.8541999999999996</v>
      </c>
      <c r="L320" s="1" t="s">
        <v>15</v>
      </c>
    </row>
    <row r="321" spans="1:12" x14ac:dyDescent="0.25">
      <c r="A321" s="1">
        <v>1211</v>
      </c>
      <c r="B321" s="1">
        <v>0</v>
      </c>
      <c r="C321" s="1">
        <v>2</v>
      </c>
      <c r="D321" s="1" t="s">
        <v>472</v>
      </c>
      <c r="E321" s="1" t="s">
        <v>11</v>
      </c>
      <c r="F321" s="1">
        <v>22</v>
      </c>
      <c r="G321" s="1">
        <v>2</v>
      </c>
      <c r="H321" s="1">
        <v>0</v>
      </c>
      <c r="I321" s="1" t="s">
        <v>63</v>
      </c>
      <c r="J321" s="1">
        <v>31.5</v>
      </c>
      <c r="L321" s="1" t="s">
        <v>15</v>
      </c>
    </row>
    <row r="322" spans="1:12" x14ac:dyDescent="0.25">
      <c r="A322" s="1">
        <v>1212</v>
      </c>
      <c r="B322" s="1">
        <v>0</v>
      </c>
      <c r="C322" s="1">
        <v>3</v>
      </c>
      <c r="D322" s="1" t="s">
        <v>473</v>
      </c>
      <c r="E322" s="1" t="s">
        <v>11</v>
      </c>
      <c r="F322" s="1">
        <v>26</v>
      </c>
      <c r="G322" s="1">
        <v>0</v>
      </c>
      <c r="H322" s="1">
        <v>0</v>
      </c>
      <c r="I322" s="1">
        <v>347075</v>
      </c>
      <c r="J322" s="1">
        <v>7.7750000000000004</v>
      </c>
      <c r="L322" s="1" t="s">
        <v>15</v>
      </c>
    </row>
    <row r="323" spans="1:12" x14ac:dyDescent="0.25">
      <c r="A323" s="1">
        <v>1213</v>
      </c>
      <c r="B323" s="1">
        <v>0</v>
      </c>
      <c r="C323" s="1">
        <v>3</v>
      </c>
      <c r="D323" s="1" t="s">
        <v>474</v>
      </c>
      <c r="E323" s="1" t="s">
        <v>11</v>
      </c>
      <c r="F323" s="1">
        <v>25</v>
      </c>
      <c r="G323" s="1">
        <v>0</v>
      </c>
      <c r="H323" s="1">
        <v>0</v>
      </c>
      <c r="I323" s="1">
        <v>2654</v>
      </c>
      <c r="J323" s="1">
        <v>7.2291999999999996</v>
      </c>
      <c r="K323" s="1" t="s">
        <v>475</v>
      </c>
      <c r="L323" s="1" t="s">
        <v>23</v>
      </c>
    </row>
    <row r="324" spans="1:12" x14ac:dyDescent="0.25">
      <c r="A324" s="1">
        <v>1214</v>
      </c>
      <c r="B324" s="1">
        <v>0</v>
      </c>
      <c r="C324" s="1">
        <v>2</v>
      </c>
      <c r="D324" s="1" t="s">
        <v>476</v>
      </c>
      <c r="E324" s="1" t="s">
        <v>11</v>
      </c>
      <c r="F324" s="1">
        <v>26</v>
      </c>
      <c r="G324" s="1">
        <v>0</v>
      </c>
      <c r="H324" s="1">
        <v>0</v>
      </c>
      <c r="I324" s="1">
        <v>244368</v>
      </c>
      <c r="J324" s="1">
        <v>13</v>
      </c>
      <c r="K324" s="1" t="s">
        <v>477</v>
      </c>
      <c r="L324" s="1" t="s">
        <v>15</v>
      </c>
    </row>
    <row r="325" spans="1:12" x14ac:dyDescent="0.25">
      <c r="A325" s="1">
        <v>1215</v>
      </c>
      <c r="B325" s="1">
        <v>0</v>
      </c>
      <c r="C325" s="1">
        <v>1</v>
      </c>
      <c r="D325" s="1" t="s">
        <v>478</v>
      </c>
      <c r="E325" s="1" t="s">
        <v>11</v>
      </c>
      <c r="F325" s="1">
        <v>33</v>
      </c>
      <c r="G325" s="1">
        <v>0</v>
      </c>
      <c r="H325" s="1">
        <v>0</v>
      </c>
      <c r="I325" s="1">
        <v>113790</v>
      </c>
      <c r="J325" s="1">
        <v>26.55</v>
      </c>
      <c r="L325" s="1" t="s">
        <v>15</v>
      </c>
    </row>
    <row r="326" spans="1:12" x14ac:dyDescent="0.25">
      <c r="A326" s="1">
        <v>1216</v>
      </c>
      <c r="B326" s="1">
        <v>1</v>
      </c>
      <c r="C326" s="1">
        <v>1</v>
      </c>
      <c r="D326" s="1" t="s">
        <v>479</v>
      </c>
      <c r="E326" s="1" t="s">
        <v>14</v>
      </c>
      <c r="F326" s="1">
        <v>39</v>
      </c>
      <c r="G326" s="1">
        <v>0</v>
      </c>
      <c r="H326" s="1">
        <v>0</v>
      </c>
      <c r="I326" s="1">
        <v>24160</v>
      </c>
      <c r="J326" s="1">
        <v>211.33750000000001</v>
      </c>
      <c r="L326" s="1" t="s">
        <v>15</v>
      </c>
    </row>
    <row r="327" spans="1:12" x14ac:dyDescent="0.25">
      <c r="A327" s="1">
        <v>1217</v>
      </c>
      <c r="B327" s="1">
        <v>0</v>
      </c>
      <c r="C327" s="1">
        <v>3</v>
      </c>
      <c r="D327" s="1" t="s">
        <v>480</v>
      </c>
      <c r="E327" s="1" t="s">
        <v>11</v>
      </c>
      <c r="F327" s="1">
        <v>23</v>
      </c>
      <c r="G327" s="1">
        <v>0</v>
      </c>
      <c r="H327" s="1">
        <v>0</v>
      </c>
      <c r="I327" s="1" t="s">
        <v>481</v>
      </c>
      <c r="J327" s="1">
        <v>7.05</v>
      </c>
      <c r="L327" s="1" t="s">
        <v>15</v>
      </c>
    </row>
    <row r="328" spans="1:12" x14ac:dyDescent="0.25">
      <c r="A328" s="1">
        <v>1218</v>
      </c>
      <c r="B328" s="1">
        <v>1</v>
      </c>
      <c r="C328" s="1">
        <v>2</v>
      </c>
      <c r="D328" s="1" t="s">
        <v>482</v>
      </c>
      <c r="E328" s="1" t="s">
        <v>14</v>
      </c>
      <c r="F328" s="1">
        <v>12</v>
      </c>
      <c r="G328" s="1">
        <v>2</v>
      </c>
      <c r="H328" s="1">
        <v>1</v>
      </c>
      <c r="I328" s="1">
        <v>230136</v>
      </c>
      <c r="J328" s="1">
        <v>39</v>
      </c>
      <c r="K328" s="1" t="s">
        <v>270</v>
      </c>
      <c r="L328" s="1" t="s">
        <v>15</v>
      </c>
    </row>
    <row r="329" spans="1:12" x14ac:dyDescent="0.25">
      <c r="A329" s="1">
        <v>1219</v>
      </c>
      <c r="B329" s="1">
        <v>0</v>
      </c>
      <c r="C329" s="1">
        <v>1</v>
      </c>
      <c r="D329" s="1" t="s">
        <v>483</v>
      </c>
      <c r="E329" s="1" t="s">
        <v>11</v>
      </c>
      <c r="F329" s="1">
        <v>46</v>
      </c>
      <c r="G329" s="1">
        <v>0</v>
      </c>
      <c r="H329" s="1">
        <v>0</v>
      </c>
      <c r="I329" s="1" t="s">
        <v>484</v>
      </c>
      <c r="J329" s="1">
        <v>79.2</v>
      </c>
      <c r="L329" s="1" t="s">
        <v>23</v>
      </c>
    </row>
    <row r="330" spans="1:12" x14ac:dyDescent="0.25">
      <c r="A330" s="1">
        <v>1220</v>
      </c>
      <c r="B330" s="1">
        <v>0</v>
      </c>
      <c r="C330" s="1">
        <v>2</v>
      </c>
      <c r="D330" s="1" t="s">
        <v>485</v>
      </c>
      <c r="E330" s="1" t="s">
        <v>11</v>
      </c>
      <c r="F330" s="1">
        <v>29</v>
      </c>
      <c r="G330" s="1">
        <v>1</v>
      </c>
      <c r="H330" s="1">
        <v>0</v>
      </c>
      <c r="I330" s="1">
        <v>2003</v>
      </c>
      <c r="J330" s="1">
        <v>26</v>
      </c>
      <c r="L330" s="1" t="s">
        <v>15</v>
      </c>
    </row>
    <row r="331" spans="1:12" x14ac:dyDescent="0.25">
      <c r="A331" s="1">
        <v>1221</v>
      </c>
      <c r="B331" s="1">
        <v>0</v>
      </c>
      <c r="C331" s="1">
        <v>2</v>
      </c>
      <c r="D331" s="1" t="s">
        <v>486</v>
      </c>
      <c r="E331" s="1" t="s">
        <v>11</v>
      </c>
      <c r="F331" s="1">
        <v>21</v>
      </c>
      <c r="G331" s="1">
        <v>0</v>
      </c>
      <c r="H331" s="1">
        <v>0</v>
      </c>
      <c r="I331" s="1">
        <v>236854</v>
      </c>
      <c r="J331" s="1">
        <v>13</v>
      </c>
      <c r="L331" s="1" t="s">
        <v>15</v>
      </c>
    </row>
    <row r="332" spans="1:12" x14ac:dyDescent="0.25">
      <c r="A332" s="1">
        <v>1222</v>
      </c>
      <c r="B332" s="1">
        <v>1</v>
      </c>
      <c r="C332" s="1">
        <v>2</v>
      </c>
      <c r="D332" s="1" t="s">
        <v>487</v>
      </c>
      <c r="E332" s="1" t="s">
        <v>14</v>
      </c>
      <c r="F332" s="1">
        <v>48</v>
      </c>
      <c r="G332" s="1">
        <v>0</v>
      </c>
      <c r="H332" s="1">
        <v>2</v>
      </c>
      <c r="I332" s="1" t="s">
        <v>267</v>
      </c>
      <c r="J332" s="1">
        <v>36.75</v>
      </c>
      <c r="L332" s="1" t="s">
        <v>15</v>
      </c>
    </row>
    <row r="333" spans="1:12" x14ac:dyDescent="0.25">
      <c r="A333" s="1">
        <v>1223</v>
      </c>
      <c r="B333" s="1">
        <v>0</v>
      </c>
      <c r="C333" s="1">
        <v>1</v>
      </c>
      <c r="D333" s="1" t="s">
        <v>488</v>
      </c>
      <c r="E333" s="1" t="s">
        <v>11</v>
      </c>
      <c r="F333" s="1">
        <v>39</v>
      </c>
      <c r="G333" s="1">
        <v>0</v>
      </c>
      <c r="H333" s="1">
        <v>0</v>
      </c>
      <c r="I333" s="1" t="s">
        <v>489</v>
      </c>
      <c r="J333" s="1">
        <v>29.7</v>
      </c>
      <c r="K333" s="1" t="s">
        <v>490</v>
      </c>
      <c r="L333" s="1" t="s">
        <v>23</v>
      </c>
    </row>
    <row r="334" spans="1:12" x14ac:dyDescent="0.25">
      <c r="A334" s="1">
        <v>1224</v>
      </c>
      <c r="B334" s="1">
        <v>0</v>
      </c>
      <c r="C334" s="1">
        <v>3</v>
      </c>
      <c r="D334" s="1" t="s">
        <v>491</v>
      </c>
      <c r="E334" s="1" t="s">
        <v>11</v>
      </c>
      <c r="G334" s="1">
        <v>0</v>
      </c>
      <c r="H334" s="1">
        <v>0</v>
      </c>
      <c r="I334" s="1">
        <v>2684</v>
      </c>
      <c r="J334" s="1">
        <v>7.2249999999999996</v>
      </c>
      <c r="L334" s="1" t="s">
        <v>23</v>
      </c>
    </row>
    <row r="335" spans="1:12" x14ac:dyDescent="0.25">
      <c r="A335" s="1">
        <v>1225</v>
      </c>
      <c r="B335" s="1">
        <v>1</v>
      </c>
      <c r="C335" s="1">
        <v>3</v>
      </c>
      <c r="D335" s="1" t="s">
        <v>492</v>
      </c>
      <c r="E335" s="1" t="s">
        <v>14</v>
      </c>
      <c r="F335" s="1">
        <v>19</v>
      </c>
      <c r="G335" s="1">
        <v>1</v>
      </c>
      <c r="H335" s="1">
        <v>1</v>
      </c>
      <c r="I335" s="1">
        <v>2653</v>
      </c>
      <c r="J335" s="1">
        <v>15.7417</v>
      </c>
      <c r="L335" s="1" t="s">
        <v>23</v>
      </c>
    </row>
    <row r="336" spans="1:12" x14ac:dyDescent="0.25">
      <c r="A336" s="1">
        <v>1226</v>
      </c>
      <c r="B336" s="1">
        <v>0</v>
      </c>
      <c r="C336" s="1">
        <v>3</v>
      </c>
      <c r="D336" s="1" t="s">
        <v>493</v>
      </c>
      <c r="E336" s="1" t="s">
        <v>11</v>
      </c>
      <c r="F336" s="1">
        <v>27</v>
      </c>
      <c r="G336" s="1">
        <v>0</v>
      </c>
      <c r="H336" s="1">
        <v>0</v>
      </c>
      <c r="I336" s="1">
        <v>349229</v>
      </c>
      <c r="J336" s="1">
        <v>7.8958000000000004</v>
      </c>
      <c r="L336" s="1" t="s">
        <v>15</v>
      </c>
    </row>
    <row r="337" spans="1:12" x14ac:dyDescent="0.25">
      <c r="A337" s="1">
        <v>1227</v>
      </c>
      <c r="B337" s="1">
        <v>0</v>
      </c>
      <c r="C337" s="1">
        <v>1</v>
      </c>
      <c r="D337" s="1" t="s">
        <v>494</v>
      </c>
      <c r="E337" s="1" t="s">
        <v>11</v>
      </c>
      <c r="F337" s="1">
        <v>30</v>
      </c>
      <c r="G337" s="1">
        <v>0</v>
      </c>
      <c r="H337" s="1">
        <v>0</v>
      </c>
      <c r="I337" s="1">
        <v>110469</v>
      </c>
      <c r="J337" s="1">
        <v>26</v>
      </c>
      <c r="K337" s="1" t="s">
        <v>495</v>
      </c>
      <c r="L337" s="1" t="s">
        <v>15</v>
      </c>
    </row>
    <row r="338" spans="1:12" x14ac:dyDescent="0.25">
      <c r="A338" s="1">
        <v>1228</v>
      </c>
      <c r="B338" s="1">
        <v>0</v>
      </c>
      <c r="C338" s="1">
        <v>2</v>
      </c>
      <c r="D338" s="1" t="s">
        <v>496</v>
      </c>
      <c r="E338" s="1" t="s">
        <v>11</v>
      </c>
      <c r="F338" s="1">
        <v>32</v>
      </c>
      <c r="G338" s="1">
        <v>0</v>
      </c>
      <c r="H338" s="1">
        <v>0</v>
      </c>
      <c r="I338" s="1">
        <v>244360</v>
      </c>
      <c r="J338" s="1">
        <v>13</v>
      </c>
      <c r="L338" s="1" t="s">
        <v>15</v>
      </c>
    </row>
    <row r="339" spans="1:12" x14ac:dyDescent="0.25">
      <c r="A339" s="1">
        <v>1229</v>
      </c>
      <c r="B339" s="1">
        <v>0</v>
      </c>
      <c r="C339" s="1">
        <v>3</v>
      </c>
      <c r="D339" s="1" t="s">
        <v>497</v>
      </c>
      <c r="E339" s="1" t="s">
        <v>11</v>
      </c>
      <c r="F339" s="1">
        <v>39</v>
      </c>
      <c r="G339" s="1">
        <v>0</v>
      </c>
      <c r="H339" s="1">
        <v>2</v>
      </c>
      <c r="I339" s="1">
        <v>2675</v>
      </c>
      <c r="J339" s="1">
        <v>7.2291999999999996</v>
      </c>
      <c r="L339" s="1" t="s">
        <v>23</v>
      </c>
    </row>
    <row r="340" spans="1:12" x14ac:dyDescent="0.25">
      <c r="A340" s="1">
        <v>1230</v>
      </c>
      <c r="B340" s="1">
        <v>0</v>
      </c>
      <c r="C340" s="1">
        <v>2</v>
      </c>
      <c r="D340" s="1" t="s">
        <v>498</v>
      </c>
      <c r="E340" s="1" t="s">
        <v>11</v>
      </c>
      <c r="F340" s="1">
        <v>25</v>
      </c>
      <c r="G340" s="1">
        <v>0</v>
      </c>
      <c r="H340" s="1">
        <v>0</v>
      </c>
      <c r="I340" s="1" t="s">
        <v>63</v>
      </c>
      <c r="J340" s="1">
        <v>31.5</v>
      </c>
      <c r="L340" s="1" t="s">
        <v>15</v>
      </c>
    </row>
    <row r="341" spans="1:12" x14ac:dyDescent="0.25">
      <c r="A341" s="1">
        <v>1231</v>
      </c>
      <c r="B341" s="1">
        <v>0</v>
      </c>
      <c r="C341" s="1">
        <v>3</v>
      </c>
      <c r="D341" s="1" t="s">
        <v>499</v>
      </c>
      <c r="E341" s="1" t="s">
        <v>11</v>
      </c>
      <c r="G341" s="1">
        <v>0</v>
      </c>
      <c r="H341" s="1">
        <v>0</v>
      </c>
      <c r="I341" s="1">
        <v>2622</v>
      </c>
      <c r="J341" s="1">
        <v>7.2291999999999996</v>
      </c>
      <c r="L341" s="1" t="s">
        <v>23</v>
      </c>
    </row>
    <row r="342" spans="1:12" x14ac:dyDescent="0.25">
      <c r="A342" s="1">
        <v>1232</v>
      </c>
      <c r="B342" s="1">
        <v>0</v>
      </c>
      <c r="C342" s="1">
        <v>2</v>
      </c>
      <c r="D342" s="1" t="s">
        <v>500</v>
      </c>
      <c r="E342" s="1" t="s">
        <v>11</v>
      </c>
      <c r="F342" s="1">
        <v>18</v>
      </c>
      <c r="G342" s="1">
        <v>0</v>
      </c>
      <c r="H342" s="1">
        <v>0</v>
      </c>
      <c r="I342" s="1" t="s">
        <v>501</v>
      </c>
      <c r="J342" s="1">
        <v>10.5</v>
      </c>
      <c r="L342" s="1" t="s">
        <v>15</v>
      </c>
    </row>
    <row r="343" spans="1:12" x14ac:dyDescent="0.25">
      <c r="A343" s="1">
        <v>1233</v>
      </c>
      <c r="B343" s="1">
        <v>0</v>
      </c>
      <c r="C343" s="1">
        <v>3</v>
      </c>
      <c r="D343" s="1" t="s">
        <v>502</v>
      </c>
      <c r="E343" s="1" t="s">
        <v>11</v>
      </c>
      <c r="F343" s="1">
        <v>32</v>
      </c>
      <c r="G343" s="1">
        <v>0</v>
      </c>
      <c r="H343" s="1">
        <v>0</v>
      </c>
      <c r="I343" s="1">
        <v>350403</v>
      </c>
      <c r="J343" s="1">
        <v>7.5792000000000002</v>
      </c>
      <c r="L343" s="1" t="s">
        <v>15</v>
      </c>
    </row>
    <row r="344" spans="1:12" x14ac:dyDescent="0.25">
      <c r="A344" s="1">
        <v>1234</v>
      </c>
      <c r="B344" s="1">
        <v>0</v>
      </c>
      <c r="C344" s="1">
        <v>3</v>
      </c>
      <c r="D344" s="1" t="s">
        <v>503</v>
      </c>
      <c r="E344" s="1" t="s">
        <v>11</v>
      </c>
      <c r="G344" s="1">
        <v>1</v>
      </c>
      <c r="H344" s="1">
        <v>9</v>
      </c>
      <c r="I344" s="1" t="s">
        <v>289</v>
      </c>
      <c r="J344" s="1">
        <v>69.55</v>
      </c>
      <c r="L344" s="1" t="s">
        <v>15</v>
      </c>
    </row>
    <row r="345" spans="1:12" x14ac:dyDescent="0.25">
      <c r="A345" s="1">
        <v>1235</v>
      </c>
      <c r="B345" s="1">
        <v>1</v>
      </c>
      <c r="C345" s="1">
        <v>1</v>
      </c>
      <c r="D345" s="1" t="s">
        <v>504</v>
      </c>
      <c r="E345" s="1" t="s">
        <v>14</v>
      </c>
      <c r="F345" s="1">
        <v>58</v>
      </c>
      <c r="G345" s="1">
        <v>0</v>
      </c>
      <c r="H345" s="1">
        <v>1</v>
      </c>
      <c r="I345" s="1" t="s">
        <v>505</v>
      </c>
      <c r="J345" s="1">
        <v>512.32920000000001</v>
      </c>
      <c r="K345" s="1" t="s">
        <v>506</v>
      </c>
      <c r="L345" s="1" t="s">
        <v>23</v>
      </c>
    </row>
    <row r="346" spans="1:12" x14ac:dyDescent="0.25">
      <c r="A346" s="1">
        <v>1236</v>
      </c>
      <c r="B346" s="1">
        <v>0</v>
      </c>
      <c r="C346" s="1">
        <v>3</v>
      </c>
      <c r="D346" s="1" t="s">
        <v>507</v>
      </c>
      <c r="E346" s="1" t="s">
        <v>11</v>
      </c>
      <c r="G346" s="1">
        <v>1</v>
      </c>
      <c r="H346" s="1">
        <v>1</v>
      </c>
      <c r="I346" s="1" t="s">
        <v>294</v>
      </c>
      <c r="J346" s="1">
        <v>14.5</v>
      </c>
      <c r="L346" s="1" t="s">
        <v>15</v>
      </c>
    </row>
    <row r="347" spans="1:12" x14ac:dyDescent="0.25">
      <c r="A347" s="1">
        <v>1237</v>
      </c>
      <c r="B347" s="1">
        <v>1</v>
      </c>
      <c r="C347" s="1">
        <v>3</v>
      </c>
      <c r="D347" s="1" t="s">
        <v>508</v>
      </c>
      <c r="E347" s="1" t="s">
        <v>14</v>
      </c>
      <c r="F347" s="1">
        <v>16</v>
      </c>
      <c r="G347" s="1">
        <v>0</v>
      </c>
      <c r="H347" s="1">
        <v>0</v>
      </c>
      <c r="I347" s="1">
        <v>348125</v>
      </c>
      <c r="J347" s="1">
        <v>7.65</v>
      </c>
      <c r="L347" s="1" t="s">
        <v>15</v>
      </c>
    </row>
    <row r="348" spans="1:12" x14ac:dyDescent="0.25">
      <c r="A348" s="1">
        <v>1238</v>
      </c>
      <c r="B348" s="1">
        <v>0</v>
      </c>
      <c r="C348" s="1">
        <v>2</v>
      </c>
      <c r="D348" s="1" t="s">
        <v>509</v>
      </c>
      <c r="E348" s="1" t="s">
        <v>11</v>
      </c>
      <c r="F348" s="1">
        <v>26</v>
      </c>
      <c r="G348" s="1">
        <v>0</v>
      </c>
      <c r="H348" s="1">
        <v>0</v>
      </c>
      <c r="I348" s="1">
        <v>237670</v>
      </c>
      <c r="J348" s="1">
        <v>13</v>
      </c>
      <c r="L348" s="1" t="s">
        <v>15</v>
      </c>
    </row>
    <row r="349" spans="1:12" x14ac:dyDescent="0.25">
      <c r="A349" s="1">
        <v>1239</v>
      </c>
      <c r="B349" s="1">
        <v>1</v>
      </c>
      <c r="C349" s="1">
        <v>3</v>
      </c>
      <c r="D349" s="1" t="s">
        <v>510</v>
      </c>
      <c r="E349" s="1" t="s">
        <v>14</v>
      </c>
      <c r="F349" s="1">
        <v>38</v>
      </c>
      <c r="G349" s="1">
        <v>0</v>
      </c>
      <c r="H349" s="1">
        <v>0</v>
      </c>
      <c r="I349" s="1">
        <v>2688</v>
      </c>
      <c r="J349" s="1">
        <v>7.2291999999999996</v>
      </c>
      <c r="L349" s="1" t="s">
        <v>23</v>
      </c>
    </row>
    <row r="350" spans="1:12" x14ac:dyDescent="0.25">
      <c r="A350" s="1">
        <v>1240</v>
      </c>
      <c r="B350" s="1">
        <v>0</v>
      </c>
      <c r="C350" s="1">
        <v>2</v>
      </c>
      <c r="D350" s="1" t="s">
        <v>511</v>
      </c>
      <c r="E350" s="1" t="s">
        <v>11</v>
      </c>
      <c r="F350" s="1">
        <v>24</v>
      </c>
      <c r="G350" s="1">
        <v>0</v>
      </c>
      <c r="H350" s="1">
        <v>0</v>
      </c>
      <c r="I350" s="1">
        <v>248726</v>
      </c>
      <c r="J350" s="1">
        <v>13.5</v>
      </c>
      <c r="L350" s="1" t="s">
        <v>15</v>
      </c>
    </row>
    <row r="351" spans="1:12" x14ac:dyDescent="0.25">
      <c r="A351" s="1">
        <v>1241</v>
      </c>
      <c r="B351" s="1">
        <v>1</v>
      </c>
      <c r="C351" s="1">
        <v>2</v>
      </c>
      <c r="D351" s="1" t="s">
        <v>512</v>
      </c>
      <c r="E351" s="1" t="s">
        <v>14</v>
      </c>
      <c r="F351" s="1">
        <v>31</v>
      </c>
      <c r="G351" s="1">
        <v>0</v>
      </c>
      <c r="H351" s="1">
        <v>0</v>
      </c>
      <c r="I351" s="1" t="s">
        <v>513</v>
      </c>
      <c r="J351" s="1">
        <v>21</v>
      </c>
      <c r="L351" s="1" t="s">
        <v>15</v>
      </c>
    </row>
    <row r="352" spans="1:12" x14ac:dyDescent="0.25">
      <c r="A352" s="1">
        <v>1242</v>
      </c>
      <c r="B352" s="1">
        <v>1</v>
      </c>
      <c r="C352" s="1">
        <v>1</v>
      </c>
      <c r="D352" s="1" t="s">
        <v>514</v>
      </c>
      <c r="E352" s="1" t="s">
        <v>14</v>
      </c>
      <c r="F352" s="1">
        <v>45</v>
      </c>
      <c r="G352" s="1">
        <v>0</v>
      </c>
      <c r="H352" s="1">
        <v>1</v>
      </c>
      <c r="I352" s="1" t="s">
        <v>515</v>
      </c>
      <c r="J352" s="1">
        <v>63.3583</v>
      </c>
      <c r="K352" s="1" t="s">
        <v>516</v>
      </c>
      <c r="L352" s="1" t="s">
        <v>23</v>
      </c>
    </row>
    <row r="353" spans="1:12" x14ac:dyDescent="0.25">
      <c r="A353" s="1">
        <v>1243</v>
      </c>
      <c r="B353" s="1">
        <v>0</v>
      </c>
      <c r="C353" s="1">
        <v>2</v>
      </c>
      <c r="D353" s="1" t="s">
        <v>517</v>
      </c>
      <c r="E353" s="1" t="s">
        <v>11</v>
      </c>
      <c r="F353" s="1">
        <v>25</v>
      </c>
      <c r="G353" s="1">
        <v>0</v>
      </c>
      <c r="H353" s="1">
        <v>0</v>
      </c>
      <c r="I353" s="1" t="s">
        <v>518</v>
      </c>
      <c r="J353" s="1">
        <v>10.5</v>
      </c>
      <c r="L353" s="1" t="s">
        <v>15</v>
      </c>
    </row>
    <row r="354" spans="1:12" x14ac:dyDescent="0.25">
      <c r="A354" s="1">
        <v>1244</v>
      </c>
      <c r="B354" s="1">
        <v>0</v>
      </c>
      <c r="C354" s="1">
        <v>2</v>
      </c>
      <c r="D354" s="1" t="s">
        <v>519</v>
      </c>
      <c r="E354" s="1" t="s">
        <v>11</v>
      </c>
      <c r="F354" s="1">
        <v>18</v>
      </c>
      <c r="G354" s="1">
        <v>0</v>
      </c>
      <c r="H354" s="1">
        <v>0</v>
      </c>
      <c r="I354" s="1" t="s">
        <v>324</v>
      </c>
      <c r="J354" s="1">
        <v>73.5</v>
      </c>
      <c r="L354" s="1" t="s">
        <v>15</v>
      </c>
    </row>
    <row r="355" spans="1:12" x14ac:dyDescent="0.25">
      <c r="A355" s="1">
        <v>1245</v>
      </c>
      <c r="B355" s="1">
        <v>0</v>
      </c>
      <c r="C355" s="1">
        <v>2</v>
      </c>
      <c r="D355" s="1" t="s">
        <v>520</v>
      </c>
      <c r="E355" s="1" t="s">
        <v>11</v>
      </c>
      <c r="F355" s="1">
        <v>49</v>
      </c>
      <c r="G355" s="1">
        <v>1</v>
      </c>
      <c r="H355" s="1">
        <v>2</v>
      </c>
      <c r="I355" s="1">
        <v>220845</v>
      </c>
      <c r="J355" s="1">
        <v>65</v>
      </c>
      <c r="L355" s="1" t="s">
        <v>15</v>
      </c>
    </row>
    <row r="356" spans="1:12" x14ac:dyDescent="0.25">
      <c r="A356" s="1">
        <v>1246</v>
      </c>
      <c r="B356" s="1">
        <v>1</v>
      </c>
      <c r="C356" s="1">
        <v>3</v>
      </c>
      <c r="D356" s="1" t="s">
        <v>521</v>
      </c>
      <c r="E356" s="1" t="s">
        <v>14</v>
      </c>
      <c r="F356" s="1">
        <v>0.17</v>
      </c>
      <c r="G356" s="1">
        <v>1</v>
      </c>
      <c r="H356" s="1">
        <v>2</v>
      </c>
      <c r="I356" s="1" t="s">
        <v>65</v>
      </c>
      <c r="J356" s="1">
        <v>20.574999999999999</v>
      </c>
      <c r="L356" s="1" t="s">
        <v>15</v>
      </c>
    </row>
    <row r="357" spans="1:12" x14ac:dyDescent="0.25">
      <c r="A357" s="1">
        <v>1247</v>
      </c>
      <c r="B357" s="1">
        <v>0</v>
      </c>
      <c r="C357" s="1">
        <v>1</v>
      </c>
      <c r="D357" s="1" t="s">
        <v>522</v>
      </c>
      <c r="E357" s="1" t="s">
        <v>11</v>
      </c>
      <c r="F357" s="1">
        <v>50</v>
      </c>
      <c r="G357" s="1">
        <v>0</v>
      </c>
      <c r="H357" s="1">
        <v>0</v>
      </c>
      <c r="I357" s="1">
        <v>113044</v>
      </c>
      <c r="J357" s="1">
        <v>26</v>
      </c>
      <c r="K357" s="1" t="s">
        <v>523</v>
      </c>
      <c r="L357" s="1" t="s">
        <v>15</v>
      </c>
    </row>
    <row r="358" spans="1:12" x14ac:dyDescent="0.25">
      <c r="A358" s="1">
        <v>1248</v>
      </c>
      <c r="B358" s="1">
        <v>1</v>
      </c>
      <c r="C358" s="1">
        <v>1</v>
      </c>
      <c r="D358" s="1" t="s">
        <v>524</v>
      </c>
      <c r="E358" s="1" t="s">
        <v>14</v>
      </c>
      <c r="F358" s="1">
        <v>59</v>
      </c>
      <c r="G358" s="1">
        <v>2</v>
      </c>
      <c r="H358" s="1">
        <v>0</v>
      </c>
      <c r="I358" s="1">
        <v>11769</v>
      </c>
      <c r="J358" s="1">
        <v>51.479199999999999</v>
      </c>
      <c r="K358" s="1" t="s">
        <v>133</v>
      </c>
      <c r="L358" s="1" t="s">
        <v>15</v>
      </c>
    </row>
    <row r="359" spans="1:12" x14ac:dyDescent="0.25">
      <c r="A359" s="1">
        <v>1249</v>
      </c>
      <c r="B359" s="1">
        <v>0</v>
      </c>
      <c r="C359" s="1">
        <v>3</v>
      </c>
      <c r="D359" s="1" t="s">
        <v>525</v>
      </c>
      <c r="E359" s="1" t="s">
        <v>11</v>
      </c>
      <c r="G359" s="1">
        <v>0</v>
      </c>
      <c r="H359" s="1">
        <v>0</v>
      </c>
      <c r="I359" s="1">
        <v>1222</v>
      </c>
      <c r="J359" s="1">
        <v>7.8792</v>
      </c>
      <c r="L359" s="1" t="s">
        <v>15</v>
      </c>
    </row>
    <row r="360" spans="1:12" x14ac:dyDescent="0.25">
      <c r="A360" s="1">
        <v>1250</v>
      </c>
      <c r="B360" s="1">
        <v>0</v>
      </c>
      <c r="C360" s="1">
        <v>3</v>
      </c>
      <c r="D360" s="1" t="s">
        <v>526</v>
      </c>
      <c r="E360" s="1" t="s">
        <v>11</v>
      </c>
      <c r="G360" s="1">
        <v>0</v>
      </c>
      <c r="H360" s="1">
        <v>0</v>
      </c>
      <c r="I360" s="1">
        <v>368402</v>
      </c>
      <c r="J360" s="1">
        <v>7.75</v>
      </c>
      <c r="L360" s="1" t="s">
        <v>12</v>
      </c>
    </row>
    <row r="361" spans="1:12" x14ac:dyDescent="0.25">
      <c r="A361" s="1">
        <v>1251</v>
      </c>
      <c r="B361" s="1">
        <v>1</v>
      </c>
      <c r="C361" s="1">
        <v>3</v>
      </c>
      <c r="D361" s="1" t="s">
        <v>527</v>
      </c>
      <c r="E361" s="1" t="s">
        <v>14</v>
      </c>
      <c r="F361" s="1">
        <v>30</v>
      </c>
      <c r="G361" s="1">
        <v>1</v>
      </c>
      <c r="H361" s="1">
        <v>0</v>
      </c>
      <c r="I361" s="1">
        <v>349910</v>
      </c>
      <c r="J361" s="1">
        <v>15.55</v>
      </c>
      <c r="L361" s="1" t="s">
        <v>15</v>
      </c>
    </row>
    <row r="362" spans="1:12" x14ac:dyDescent="0.25">
      <c r="A362" s="1">
        <v>1252</v>
      </c>
      <c r="B362" s="1">
        <v>0</v>
      </c>
      <c r="C362" s="1">
        <v>3</v>
      </c>
      <c r="D362" s="1" t="s">
        <v>528</v>
      </c>
      <c r="E362" s="1" t="s">
        <v>11</v>
      </c>
      <c r="F362" s="1">
        <v>14.5</v>
      </c>
      <c r="G362" s="1">
        <v>8</v>
      </c>
      <c r="H362" s="1">
        <v>2</v>
      </c>
      <c r="I362" s="1" t="s">
        <v>289</v>
      </c>
      <c r="J362" s="1">
        <v>69.55</v>
      </c>
      <c r="L362" s="1" t="s">
        <v>15</v>
      </c>
    </row>
    <row r="363" spans="1:12" x14ac:dyDescent="0.25">
      <c r="A363" s="1">
        <v>1253</v>
      </c>
      <c r="B363" s="1">
        <v>1</v>
      </c>
      <c r="C363" s="1">
        <v>2</v>
      </c>
      <c r="D363" s="1" t="s">
        <v>529</v>
      </c>
      <c r="E363" s="1" t="s">
        <v>14</v>
      </c>
      <c r="F363" s="1">
        <v>24</v>
      </c>
      <c r="G363" s="1">
        <v>1</v>
      </c>
      <c r="H363" s="1">
        <v>1</v>
      </c>
      <c r="I363" s="1" t="s">
        <v>530</v>
      </c>
      <c r="J363" s="1">
        <v>37.004199999999997</v>
      </c>
      <c r="L363" s="1" t="s">
        <v>23</v>
      </c>
    </row>
    <row r="364" spans="1:12" x14ac:dyDescent="0.25">
      <c r="A364" s="1">
        <v>1254</v>
      </c>
      <c r="B364" s="1">
        <v>1</v>
      </c>
      <c r="C364" s="1">
        <v>2</v>
      </c>
      <c r="D364" s="1" t="s">
        <v>531</v>
      </c>
      <c r="E364" s="1" t="s">
        <v>14</v>
      </c>
      <c r="F364" s="1">
        <v>31</v>
      </c>
      <c r="G364" s="1">
        <v>0</v>
      </c>
      <c r="H364" s="1">
        <v>0</v>
      </c>
      <c r="I364" s="1" t="s">
        <v>413</v>
      </c>
      <c r="J364" s="1">
        <v>21</v>
      </c>
      <c r="L364" s="1" t="s">
        <v>15</v>
      </c>
    </row>
    <row r="365" spans="1:12" x14ac:dyDescent="0.25">
      <c r="A365" s="1">
        <v>1255</v>
      </c>
      <c r="B365" s="1">
        <v>0</v>
      </c>
      <c r="C365" s="1">
        <v>3</v>
      </c>
      <c r="D365" s="1" t="s">
        <v>532</v>
      </c>
      <c r="E365" s="1" t="s">
        <v>11</v>
      </c>
      <c r="F365" s="1">
        <v>27</v>
      </c>
      <c r="G365" s="1">
        <v>0</v>
      </c>
      <c r="H365" s="1">
        <v>0</v>
      </c>
      <c r="I365" s="1">
        <v>315083</v>
      </c>
      <c r="J365" s="1">
        <v>8.6624999999999996</v>
      </c>
      <c r="L365" s="1" t="s">
        <v>15</v>
      </c>
    </row>
    <row r="366" spans="1:12" x14ac:dyDescent="0.25">
      <c r="A366" s="1">
        <v>1256</v>
      </c>
      <c r="B366" s="1">
        <v>1</v>
      </c>
      <c r="C366" s="1">
        <v>1</v>
      </c>
      <c r="D366" s="1" t="s">
        <v>533</v>
      </c>
      <c r="E366" s="1" t="s">
        <v>14</v>
      </c>
      <c r="F366" s="1">
        <v>25</v>
      </c>
      <c r="G366" s="1">
        <v>1</v>
      </c>
      <c r="H366" s="1">
        <v>0</v>
      </c>
      <c r="I366" s="1">
        <v>11765</v>
      </c>
      <c r="J366" s="1">
        <v>55.441699999999997</v>
      </c>
      <c r="K366" s="1" t="s">
        <v>534</v>
      </c>
      <c r="L366" s="1" t="s">
        <v>23</v>
      </c>
    </row>
    <row r="367" spans="1:12" x14ac:dyDescent="0.25">
      <c r="A367" s="1">
        <v>1257</v>
      </c>
      <c r="B367" s="1">
        <v>1</v>
      </c>
      <c r="C367" s="1">
        <v>3</v>
      </c>
      <c r="D367" s="1" t="s">
        <v>535</v>
      </c>
      <c r="E367" s="1" t="s">
        <v>14</v>
      </c>
      <c r="G367" s="1">
        <v>1</v>
      </c>
      <c r="H367" s="1">
        <v>9</v>
      </c>
      <c r="I367" s="1" t="s">
        <v>289</v>
      </c>
      <c r="J367" s="1">
        <v>69.55</v>
      </c>
      <c r="L367" s="1" t="s">
        <v>15</v>
      </c>
    </row>
    <row r="368" spans="1:12" x14ac:dyDescent="0.25">
      <c r="A368" s="1">
        <v>1258</v>
      </c>
      <c r="B368" s="1">
        <v>0</v>
      </c>
      <c r="C368" s="1">
        <v>3</v>
      </c>
      <c r="D368" s="1" t="s">
        <v>536</v>
      </c>
      <c r="E368" s="1" t="s">
        <v>11</v>
      </c>
      <c r="G368" s="1">
        <v>1</v>
      </c>
      <c r="H368" s="1">
        <v>0</v>
      </c>
      <c r="I368" s="1">
        <v>2689</v>
      </c>
      <c r="J368" s="1">
        <v>14.458299999999999</v>
      </c>
      <c r="L368" s="1" t="s">
        <v>23</v>
      </c>
    </row>
    <row r="369" spans="1:12" x14ac:dyDescent="0.25">
      <c r="A369" s="1">
        <v>1259</v>
      </c>
      <c r="B369" s="1">
        <v>1</v>
      </c>
      <c r="C369" s="1">
        <v>3</v>
      </c>
      <c r="D369" s="1" t="s">
        <v>537</v>
      </c>
      <c r="E369" s="1" t="s">
        <v>14</v>
      </c>
      <c r="F369" s="1">
        <v>22</v>
      </c>
      <c r="G369" s="1">
        <v>0</v>
      </c>
      <c r="H369" s="1">
        <v>0</v>
      </c>
      <c r="I369" s="1">
        <v>3101295</v>
      </c>
      <c r="J369" s="1">
        <v>39.6875</v>
      </c>
      <c r="L369" s="1" t="s">
        <v>15</v>
      </c>
    </row>
    <row r="370" spans="1:12" x14ac:dyDescent="0.25">
      <c r="A370" s="1">
        <v>1260</v>
      </c>
      <c r="B370" s="1">
        <v>1</v>
      </c>
      <c r="C370" s="1">
        <v>1</v>
      </c>
      <c r="D370" s="1" t="s">
        <v>538</v>
      </c>
      <c r="E370" s="1" t="s">
        <v>14</v>
      </c>
      <c r="F370" s="1">
        <v>45</v>
      </c>
      <c r="G370" s="1">
        <v>0</v>
      </c>
      <c r="H370" s="1">
        <v>1</v>
      </c>
      <c r="I370" s="1">
        <v>112378</v>
      </c>
      <c r="J370" s="1">
        <v>59.4</v>
      </c>
      <c r="L370" s="1" t="s">
        <v>23</v>
      </c>
    </row>
    <row r="371" spans="1:12" x14ac:dyDescent="0.25">
      <c r="A371" s="1">
        <v>1261</v>
      </c>
      <c r="B371" s="1">
        <v>0</v>
      </c>
      <c r="C371" s="1">
        <v>2</v>
      </c>
      <c r="D371" s="1" t="s">
        <v>539</v>
      </c>
      <c r="E371" s="1" t="s">
        <v>11</v>
      </c>
      <c r="F371" s="1">
        <v>29</v>
      </c>
      <c r="G371" s="1">
        <v>0</v>
      </c>
      <c r="H371" s="1">
        <v>0</v>
      </c>
      <c r="I371" s="1" t="s">
        <v>540</v>
      </c>
      <c r="J371" s="1">
        <v>13.8583</v>
      </c>
      <c r="L371" s="1" t="s">
        <v>23</v>
      </c>
    </row>
    <row r="372" spans="1:12" x14ac:dyDescent="0.25">
      <c r="A372" s="1">
        <v>1262</v>
      </c>
      <c r="B372" s="1">
        <v>0</v>
      </c>
      <c r="C372" s="1">
        <v>2</v>
      </c>
      <c r="D372" s="1" t="s">
        <v>541</v>
      </c>
      <c r="E372" s="1" t="s">
        <v>11</v>
      </c>
      <c r="F372" s="1">
        <v>21</v>
      </c>
      <c r="G372" s="1">
        <v>1</v>
      </c>
      <c r="H372" s="1">
        <v>0</v>
      </c>
      <c r="I372" s="1">
        <v>28133</v>
      </c>
      <c r="J372" s="1">
        <v>11.5</v>
      </c>
      <c r="L372" s="1" t="s">
        <v>15</v>
      </c>
    </row>
    <row r="373" spans="1:12" x14ac:dyDescent="0.25">
      <c r="A373" s="1">
        <v>1263</v>
      </c>
      <c r="B373" s="1">
        <v>1</v>
      </c>
      <c r="C373" s="1">
        <v>1</v>
      </c>
      <c r="D373" s="1" t="s">
        <v>542</v>
      </c>
      <c r="E373" s="1" t="s">
        <v>14</v>
      </c>
      <c r="F373" s="1">
        <v>31</v>
      </c>
      <c r="G373" s="1">
        <v>0</v>
      </c>
      <c r="H373" s="1">
        <v>0</v>
      </c>
      <c r="I373" s="1">
        <v>16966</v>
      </c>
      <c r="J373" s="1">
        <v>134.5</v>
      </c>
      <c r="K373" s="1" t="s">
        <v>543</v>
      </c>
      <c r="L373" s="1" t="s">
        <v>23</v>
      </c>
    </row>
    <row r="374" spans="1:12" x14ac:dyDescent="0.25">
      <c r="A374" s="1">
        <v>1264</v>
      </c>
      <c r="B374" s="1">
        <v>0</v>
      </c>
      <c r="C374" s="1">
        <v>1</v>
      </c>
      <c r="D374" s="1" t="s">
        <v>544</v>
      </c>
      <c r="E374" s="1" t="s">
        <v>11</v>
      </c>
      <c r="F374" s="1">
        <v>49</v>
      </c>
      <c r="G374" s="1">
        <v>0</v>
      </c>
      <c r="H374" s="1">
        <v>0</v>
      </c>
      <c r="I374" s="1">
        <v>112058</v>
      </c>
      <c r="J374" s="1">
        <v>0</v>
      </c>
      <c r="K374" s="1" t="s">
        <v>545</v>
      </c>
      <c r="L374" s="1" t="s">
        <v>15</v>
      </c>
    </row>
    <row r="375" spans="1:12" x14ac:dyDescent="0.25">
      <c r="A375" s="1">
        <v>1265</v>
      </c>
      <c r="B375" s="1">
        <v>0</v>
      </c>
      <c r="C375" s="1">
        <v>2</v>
      </c>
      <c r="D375" s="1" t="s">
        <v>546</v>
      </c>
      <c r="E375" s="1" t="s">
        <v>11</v>
      </c>
      <c r="F375" s="1">
        <v>44</v>
      </c>
      <c r="G375" s="1">
        <v>0</v>
      </c>
      <c r="H375" s="1">
        <v>0</v>
      </c>
      <c r="I375" s="1">
        <v>248746</v>
      </c>
      <c r="J375" s="1">
        <v>13</v>
      </c>
      <c r="L375" s="1" t="s">
        <v>15</v>
      </c>
    </row>
    <row r="376" spans="1:12" x14ac:dyDescent="0.25">
      <c r="A376" s="1">
        <v>1266</v>
      </c>
      <c r="B376" s="1">
        <v>1</v>
      </c>
      <c r="C376" s="1">
        <v>1</v>
      </c>
      <c r="D376" s="1" t="s">
        <v>547</v>
      </c>
      <c r="E376" s="1" t="s">
        <v>14</v>
      </c>
      <c r="F376" s="1">
        <v>54</v>
      </c>
      <c r="G376" s="1">
        <v>1</v>
      </c>
      <c r="H376" s="1">
        <v>1</v>
      </c>
      <c r="I376" s="1">
        <v>33638</v>
      </c>
      <c r="J376" s="1">
        <v>81.8583</v>
      </c>
      <c r="K376" s="1" t="s">
        <v>435</v>
      </c>
      <c r="L376" s="1" t="s">
        <v>15</v>
      </c>
    </row>
    <row r="377" spans="1:12" x14ac:dyDescent="0.25">
      <c r="A377" s="1">
        <v>1267</v>
      </c>
      <c r="B377" s="1">
        <v>1</v>
      </c>
      <c r="C377" s="1">
        <v>1</v>
      </c>
      <c r="D377" s="1" t="s">
        <v>548</v>
      </c>
      <c r="E377" s="1" t="s">
        <v>14</v>
      </c>
      <c r="F377" s="1">
        <v>45</v>
      </c>
      <c r="G377" s="1">
        <v>0</v>
      </c>
      <c r="H377" s="1">
        <v>0</v>
      </c>
      <c r="I377" s="1" t="s">
        <v>50</v>
      </c>
      <c r="J377" s="1">
        <v>262.375</v>
      </c>
      <c r="L377" s="1" t="s">
        <v>23</v>
      </c>
    </row>
    <row r="378" spans="1:12" x14ac:dyDescent="0.25">
      <c r="A378" s="1">
        <v>1268</v>
      </c>
      <c r="B378" s="1">
        <v>1</v>
      </c>
      <c r="C378" s="1">
        <v>3</v>
      </c>
      <c r="D378" s="1" t="s">
        <v>549</v>
      </c>
      <c r="E378" s="1" t="s">
        <v>14</v>
      </c>
      <c r="F378" s="1">
        <v>22</v>
      </c>
      <c r="G378" s="1">
        <v>2</v>
      </c>
      <c r="H378" s="1">
        <v>0</v>
      </c>
      <c r="I378" s="1">
        <v>315152</v>
      </c>
      <c r="J378" s="1">
        <v>8.6624999999999996</v>
      </c>
      <c r="L378" s="1" t="s">
        <v>15</v>
      </c>
    </row>
    <row r="379" spans="1:12" x14ac:dyDescent="0.25">
      <c r="A379" s="1">
        <v>1269</v>
      </c>
      <c r="B379" s="1">
        <v>0</v>
      </c>
      <c r="C379" s="1">
        <v>2</v>
      </c>
      <c r="D379" s="1" t="s">
        <v>550</v>
      </c>
      <c r="E379" s="1" t="s">
        <v>11</v>
      </c>
      <c r="F379" s="1">
        <v>21</v>
      </c>
      <c r="G379" s="1">
        <v>0</v>
      </c>
      <c r="H379" s="1">
        <v>0</v>
      </c>
      <c r="I379" s="1">
        <v>29107</v>
      </c>
      <c r="J379" s="1">
        <v>11.5</v>
      </c>
      <c r="L379" s="1" t="s">
        <v>15</v>
      </c>
    </row>
    <row r="380" spans="1:12" x14ac:dyDescent="0.25">
      <c r="A380" s="1">
        <v>1270</v>
      </c>
      <c r="B380" s="1">
        <v>0</v>
      </c>
      <c r="C380" s="1">
        <v>1</v>
      </c>
      <c r="D380" s="1" t="s">
        <v>551</v>
      </c>
      <c r="E380" s="1" t="s">
        <v>11</v>
      </c>
      <c r="F380" s="1">
        <v>55</v>
      </c>
      <c r="G380" s="1">
        <v>0</v>
      </c>
      <c r="H380" s="1">
        <v>0</v>
      </c>
      <c r="I380" s="1">
        <v>680</v>
      </c>
      <c r="J380" s="1">
        <v>50</v>
      </c>
      <c r="K380" s="1" t="s">
        <v>552</v>
      </c>
      <c r="L380" s="1" t="s">
        <v>15</v>
      </c>
    </row>
    <row r="381" spans="1:12" x14ac:dyDescent="0.25">
      <c r="A381" s="1">
        <v>1271</v>
      </c>
      <c r="B381" s="1">
        <v>0</v>
      </c>
      <c r="C381" s="1">
        <v>3</v>
      </c>
      <c r="D381" s="1" t="s">
        <v>553</v>
      </c>
      <c r="E381" s="1" t="s">
        <v>11</v>
      </c>
      <c r="F381" s="1">
        <v>5</v>
      </c>
      <c r="G381" s="1">
        <v>4</v>
      </c>
      <c r="H381" s="1">
        <v>2</v>
      </c>
      <c r="I381" s="1">
        <v>347077</v>
      </c>
      <c r="J381" s="1">
        <v>31.387499999999999</v>
      </c>
      <c r="L381" s="1" t="s">
        <v>15</v>
      </c>
    </row>
    <row r="382" spans="1:12" x14ac:dyDescent="0.25">
      <c r="A382" s="1">
        <v>1272</v>
      </c>
      <c r="B382" s="1">
        <v>0</v>
      </c>
      <c r="C382" s="1">
        <v>3</v>
      </c>
      <c r="D382" s="1" t="s">
        <v>554</v>
      </c>
      <c r="E382" s="1" t="s">
        <v>11</v>
      </c>
      <c r="G382" s="1">
        <v>0</v>
      </c>
      <c r="H382" s="1">
        <v>0</v>
      </c>
      <c r="I382" s="1">
        <v>366713</v>
      </c>
      <c r="J382" s="1">
        <v>7.75</v>
      </c>
      <c r="L382" s="1" t="s">
        <v>12</v>
      </c>
    </row>
    <row r="383" spans="1:12" x14ac:dyDescent="0.25">
      <c r="A383" s="1">
        <v>1273</v>
      </c>
      <c r="B383" s="1">
        <v>0</v>
      </c>
      <c r="C383" s="1">
        <v>3</v>
      </c>
      <c r="D383" s="1" t="s">
        <v>555</v>
      </c>
      <c r="E383" s="1" t="s">
        <v>11</v>
      </c>
      <c r="F383" s="1">
        <v>26</v>
      </c>
      <c r="G383" s="1">
        <v>0</v>
      </c>
      <c r="H383" s="1">
        <v>0</v>
      </c>
      <c r="I383" s="1">
        <v>330910</v>
      </c>
      <c r="J383" s="1">
        <v>7.8792</v>
      </c>
      <c r="L383" s="1" t="s">
        <v>12</v>
      </c>
    </row>
    <row r="384" spans="1:12" x14ac:dyDescent="0.25">
      <c r="A384" s="1">
        <v>1274</v>
      </c>
      <c r="B384" s="1">
        <v>1</v>
      </c>
      <c r="C384" s="1">
        <v>3</v>
      </c>
      <c r="D384" s="1" t="s">
        <v>556</v>
      </c>
      <c r="E384" s="1" t="s">
        <v>14</v>
      </c>
      <c r="G384" s="1">
        <v>0</v>
      </c>
      <c r="H384" s="1">
        <v>0</v>
      </c>
      <c r="I384" s="1">
        <v>364498</v>
      </c>
      <c r="J384" s="1">
        <v>14.5</v>
      </c>
      <c r="L384" s="1" t="s">
        <v>15</v>
      </c>
    </row>
    <row r="385" spans="1:12" x14ac:dyDescent="0.25">
      <c r="A385" s="1">
        <v>1275</v>
      </c>
      <c r="B385" s="1">
        <v>1</v>
      </c>
      <c r="C385" s="1">
        <v>3</v>
      </c>
      <c r="D385" s="1" t="s">
        <v>557</v>
      </c>
      <c r="E385" s="1" t="s">
        <v>14</v>
      </c>
      <c r="F385" s="1">
        <v>19</v>
      </c>
      <c r="G385" s="1">
        <v>1</v>
      </c>
      <c r="H385" s="1">
        <v>0</v>
      </c>
      <c r="I385" s="1">
        <v>376566</v>
      </c>
      <c r="J385" s="1">
        <v>16.100000000000001</v>
      </c>
      <c r="L385" s="1" t="s">
        <v>15</v>
      </c>
    </row>
    <row r="386" spans="1:12" x14ac:dyDescent="0.25">
      <c r="A386" s="1">
        <v>1276</v>
      </c>
      <c r="B386" s="1">
        <v>0</v>
      </c>
      <c r="C386" s="1">
        <v>2</v>
      </c>
      <c r="D386" s="1" t="s">
        <v>558</v>
      </c>
      <c r="E386" s="1" t="s">
        <v>11</v>
      </c>
      <c r="G386" s="1">
        <v>0</v>
      </c>
      <c r="H386" s="1">
        <v>0</v>
      </c>
      <c r="I386" s="1" t="s">
        <v>559</v>
      </c>
      <c r="J386" s="1">
        <v>12.875</v>
      </c>
      <c r="L386" s="1" t="s">
        <v>15</v>
      </c>
    </row>
    <row r="387" spans="1:12" x14ac:dyDescent="0.25">
      <c r="A387" s="1">
        <v>1277</v>
      </c>
      <c r="B387" s="1">
        <v>1</v>
      </c>
      <c r="C387" s="1">
        <v>2</v>
      </c>
      <c r="D387" s="1" t="s">
        <v>560</v>
      </c>
      <c r="E387" s="1" t="s">
        <v>14</v>
      </c>
      <c r="F387" s="1">
        <v>24</v>
      </c>
      <c r="G387" s="1">
        <v>1</v>
      </c>
      <c r="H387" s="1">
        <v>2</v>
      </c>
      <c r="I387" s="1">
        <v>220845</v>
      </c>
      <c r="J387" s="1">
        <v>65</v>
      </c>
      <c r="L387" s="1" t="s">
        <v>15</v>
      </c>
    </row>
    <row r="388" spans="1:12" x14ac:dyDescent="0.25">
      <c r="A388" s="1">
        <v>1278</v>
      </c>
      <c r="B388" s="1">
        <v>0</v>
      </c>
      <c r="C388" s="1">
        <v>3</v>
      </c>
      <c r="D388" s="1" t="s">
        <v>561</v>
      </c>
      <c r="E388" s="1" t="s">
        <v>11</v>
      </c>
      <c r="F388" s="1">
        <v>24</v>
      </c>
      <c r="G388" s="1">
        <v>0</v>
      </c>
      <c r="H388" s="1">
        <v>0</v>
      </c>
      <c r="I388" s="1">
        <v>349911</v>
      </c>
      <c r="J388" s="1">
        <v>7.7750000000000004</v>
      </c>
      <c r="L388" s="1" t="s">
        <v>15</v>
      </c>
    </row>
    <row r="389" spans="1:12" x14ac:dyDescent="0.25">
      <c r="A389" s="1">
        <v>1279</v>
      </c>
      <c r="B389" s="1">
        <v>0</v>
      </c>
      <c r="C389" s="1">
        <v>2</v>
      </c>
      <c r="D389" s="1" t="s">
        <v>562</v>
      </c>
      <c r="E389" s="1" t="s">
        <v>11</v>
      </c>
      <c r="F389" s="1">
        <v>57</v>
      </c>
      <c r="G389" s="1">
        <v>0</v>
      </c>
      <c r="H389" s="1">
        <v>0</v>
      </c>
      <c r="I389" s="1">
        <v>244346</v>
      </c>
      <c r="J389" s="1">
        <v>13</v>
      </c>
      <c r="L389" s="1" t="s">
        <v>15</v>
      </c>
    </row>
    <row r="390" spans="1:12" x14ac:dyDescent="0.25">
      <c r="A390" s="1">
        <v>1280</v>
      </c>
      <c r="B390" s="1">
        <v>0</v>
      </c>
      <c r="C390" s="1">
        <v>3</v>
      </c>
      <c r="D390" s="1" t="s">
        <v>563</v>
      </c>
      <c r="E390" s="1" t="s">
        <v>11</v>
      </c>
      <c r="F390" s="1">
        <v>21</v>
      </c>
      <c r="G390" s="1">
        <v>0</v>
      </c>
      <c r="H390" s="1">
        <v>0</v>
      </c>
      <c r="I390" s="1">
        <v>364858</v>
      </c>
      <c r="J390" s="1">
        <v>7.75</v>
      </c>
      <c r="L390" s="1" t="s">
        <v>12</v>
      </c>
    </row>
    <row r="391" spans="1:12" x14ac:dyDescent="0.25">
      <c r="A391" s="1">
        <v>1281</v>
      </c>
      <c r="B391" s="1">
        <v>0</v>
      </c>
      <c r="C391" s="1">
        <v>3</v>
      </c>
      <c r="D391" s="1" t="s">
        <v>564</v>
      </c>
      <c r="E391" s="1" t="s">
        <v>11</v>
      </c>
      <c r="F391" s="1">
        <v>6</v>
      </c>
      <c r="G391" s="1">
        <v>3</v>
      </c>
      <c r="H391" s="1">
        <v>1</v>
      </c>
      <c r="I391" s="1">
        <v>349909</v>
      </c>
      <c r="J391" s="1">
        <v>21.074999999999999</v>
      </c>
      <c r="L391" s="1" t="s">
        <v>15</v>
      </c>
    </row>
    <row r="392" spans="1:12" x14ac:dyDescent="0.25">
      <c r="A392" s="1">
        <v>1282</v>
      </c>
      <c r="B392" s="1">
        <v>0</v>
      </c>
      <c r="C392" s="1">
        <v>1</v>
      </c>
      <c r="D392" s="1" t="s">
        <v>565</v>
      </c>
      <c r="E392" s="1" t="s">
        <v>11</v>
      </c>
      <c r="F392" s="1">
        <v>23</v>
      </c>
      <c r="G392" s="1">
        <v>0</v>
      </c>
      <c r="H392" s="1">
        <v>0</v>
      </c>
      <c r="I392" s="1">
        <v>12749</v>
      </c>
      <c r="J392" s="1">
        <v>93.5</v>
      </c>
      <c r="K392" s="1" t="s">
        <v>566</v>
      </c>
      <c r="L392" s="1" t="s">
        <v>15</v>
      </c>
    </row>
    <row r="393" spans="1:12" x14ac:dyDescent="0.25">
      <c r="A393" s="1">
        <v>1283</v>
      </c>
      <c r="B393" s="1">
        <v>1</v>
      </c>
      <c r="C393" s="1">
        <v>1</v>
      </c>
      <c r="D393" s="1" t="s">
        <v>567</v>
      </c>
      <c r="E393" s="1" t="s">
        <v>14</v>
      </c>
      <c r="F393" s="1">
        <v>51</v>
      </c>
      <c r="G393" s="1">
        <v>0</v>
      </c>
      <c r="H393" s="1">
        <v>1</v>
      </c>
      <c r="I393" s="1" t="s">
        <v>568</v>
      </c>
      <c r="J393" s="1">
        <v>39.4</v>
      </c>
      <c r="K393" s="1" t="s">
        <v>569</v>
      </c>
      <c r="L393" s="1" t="s">
        <v>15</v>
      </c>
    </row>
    <row r="394" spans="1:12" x14ac:dyDescent="0.25">
      <c r="A394" s="1">
        <v>1284</v>
      </c>
      <c r="B394" s="1">
        <v>0</v>
      </c>
      <c r="C394" s="1">
        <v>3</v>
      </c>
      <c r="D394" s="1" t="s">
        <v>570</v>
      </c>
      <c r="E394" s="1" t="s">
        <v>11</v>
      </c>
      <c r="F394" s="1">
        <v>13</v>
      </c>
      <c r="G394" s="1">
        <v>0</v>
      </c>
      <c r="H394" s="1">
        <v>2</v>
      </c>
      <c r="I394" s="1" t="s">
        <v>571</v>
      </c>
      <c r="J394" s="1">
        <v>20.25</v>
      </c>
      <c r="L394" s="1" t="s">
        <v>15</v>
      </c>
    </row>
    <row r="395" spans="1:12" x14ac:dyDescent="0.25">
      <c r="A395" s="1">
        <v>1285</v>
      </c>
      <c r="B395" s="1">
        <v>0</v>
      </c>
      <c r="C395" s="1">
        <v>2</v>
      </c>
      <c r="D395" s="1" t="s">
        <v>572</v>
      </c>
      <c r="E395" s="1" t="s">
        <v>11</v>
      </c>
      <c r="F395" s="1">
        <v>47</v>
      </c>
      <c r="G395" s="1">
        <v>0</v>
      </c>
      <c r="H395" s="1">
        <v>0</v>
      </c>
      <c r="I395" s="1" t="s">
        <v>573</v>
      </c>
      <c r="J395" s="1">
        <v>10.5</v>
      </c>
      <c r="L395" s="1" t="s">
        <v>15</v>
      </c>
    </row>
    <row r="396" spans="1:12" x14ac:dyDescent="0.25">
      <c r="A396" s="1">
        <v>1286</v>
      </c>
      <c r="B396" s="1">
        <v>0</v>
      </c>
      <c r="C396" s="1">
        <v>3</v>
      </c>
      <c r="D396" s="1" t="s">
        <v>574</v>
      </c>
      <c r="E396" s="1" t="s">
        <v>11</v>
      </c>
      <c r="F396" s="1">
        <v>29</v>
      </c>
      <c r="G396" s="1">
        <v>3</v>
      </c>
      <c r="H396" s="1">
        <v>1</v>
      </c>
      <c r="I396" s="1">
        <v>315153</v>
      </c>
      <c r="J396" s="1">
        <v>22.024999999999999</v>
      </c>
      <c r="L396" s="1" t="s">
        <v>15</v>
      </c>
    </row>
    <row r="397" spans="1:12" x14ac:dyDescent="0.25">
      <c r="A397" s="1">
        <v>1287</v>
      </c>
      <c r="B397" s="1">
        <v>1</v>
      </c>
      <c r="C397" s="1">
        <v>1</v>
      </c>
      <c r="D397" s="1" t="s">
        <v>575</v>
      </c>
      <c r="E397" s="1" t="s">
        <v>14</v>
      </c>
      <c r="F397" s="1">
        <v>18</v>
      </c>
      <c r="G397" s="1">
        <v>1</v>
      </c>
      <c r="H397" s="1">
        <v>0</v>
      </c>
      <c r="I397" s="1">
        <v>13695</v>
      </c>
      <c r="J397" s="1">
        <v>60</v>
      </c>
      <c r="K397" s="1" t="s">
        <v>94</v>
      </c>
      <c r="L397" s="1" t="s">
        <v>15</v>
      </c>
    </row>
    <row r="398" spans="1:12" x14ac:dyDescent="0.25">
      <c r="A398" s="1">
        <v>1288</v>
      </c>
      <c r="B398" s="1">
        <v>0</v>
      </c>
      <c r="C398" s="1">
        <v>3</v>
      </c>
      <c r="D398" s="1" t="s">
        <v>576</v>
      </c>
      <c r="E398" s="1" t="s">
        <v>11</v>
      </c>
      <c r="F398" s="1">
        <v>24</v>
      </c>
      <c r="G398" s="1">
        <v>0</v>
      </c>
      <c r="H398" s="1">
        <v>0</v>
      </c>
      <c r="I398" s="1">
        <v>371109</v>
      </c>
      <c r="J398" s="1">
        <v>7.25</v>
      </c>
      <c r="L398" s="1" t="s">
        <v>12</v>
      </c>
    </row>
    <row r="399" spans="1:12" x14ac:dyDescent="0.25">
      <c r="A399" s="1">
        <v>1289</v>
      </c>
      <c r="B399" s="1">
        <v>1</v>
      </c>
      <c r="C399" s="1">
        <v>1</v>
      </c>
      <c r="D399" s="1" t="s">
        <v>577</v>
      </c>
      <c r="E399" s="1" t="s">
        <v>14</v>
      </c>
      <c r="F399" s="1">
        <v>48</v>
      </c>
      <c r="G399" s="1">
        <v>1</v>
      </c>
      <c r="H399" s="1">
        <v>1</v>
      </c>
      <c r="I399" s="1">
        <v>13567</v>
      </c>
      <c r="J399" s="1">
        <v>79.2</v>
      </c>
      <c r="K399" s="1" t="s">
        <v>578</v>
      </c>
      <c r="L399" s="1" t="s">
        <v>23</v>
      </c>
    </row>
    <row r="400" spans="1:12" x14ac:dyDescent="0.25">
      <c r="A400" s="1">
        <v>1290</v>
      </c>
      <c r="B400" s="1">
        <v>0</v>
      </c>
      <c r="C400" s="1">
        <v>3</v>
      </c>
      <c r="D400" s="1" t="s">
        <v>579</v>
      </c>
      <c r="E400" s="1" t="s">
        <v>11</v>
      </c>
      <c r="F400" s="1">
        <v>22</v>
      </c>
      <c r="G400" s="1">
        <v>0</v>
      </c>
      <c r="H400" s="1">
        <v>0</v>
      </c>
      <c r="I400" s="1">
        <v>347065</v>
      </c>
      <c r="J400" s="1">
        <v>7.7750000000000004</v>
      </c>
      <c r="L400" s="1" t="s">
        <v>15</v>
      </c>
    </row>
    <row r="401" spans="1:12" x14ac:dyDescent="0.25">
      <c r="A401" s="1">
        <v>1291</v>
      </c>
      <c r="B401" s="1">
        <v>0</v>
      </c>
      <c r="C401" s="1">
        <v>3</v>
      </c>
      <c r="D401" s="1" t="s">
        <v>580</v>
      </c>
      <c r="E401" s="1" t="s">
        <v>11</v>
      </c>
      <c r="F401" s="1">
        <v>31</v>
      </c>
      <c r="G401" s="1">
        <v>0</v>
      </c>
      <c r="H401" s="1">
        <v>0</v>
      </c>
      <c r="I401" s="1">
        <v>21332</v>
      </c>
      <c r="J401" s="1">
        <v>7.7332999999999998</v>
      </c>
      <c r="L401" s="1" t="s">
        <v>12</v>
      </c>
    </row>
    <row r="402" spans="1:12" x14ac:dyDescent="0.25">
      <c r="A402" s="1">
        <v>1292</v>
      </c>
      <c r="B402" s="1">
        <v>1</v>
      </c>
      <c r="C402" s="1">
        <v>1</v>
      </c>
      <c r="D402" s="1" t="s">
        <v>581</v>
      </c>
      <c r="E402" s="1" t="s">
        <v>14</v>
      </c>
      <c r="F402" s="1">
        <v>30</v>
      </c>
      <c r="G402" s="1">
        <v>0</v>
      </c>
      <c r="H402" s="1">
        <v>0</v>
      </c>
      <c r="I402" s="1">
        <v>36928</v>
      </c>
      <c r="J402" s="1">
        <v>164.86670000000001</v>
      </c>
      <c r="K402" s="1" t="s">
        <v>582</v>
      </c>
      <c r="L402" s="1" t="s">
        <v>15</v>
      </c>
    </row>
    <row r="403" spans="1:12" x14ac:dyDescent="0.25">
      <c r="A403" s="1">
        <v>1293</v>
      </c>
      <c r="B403" s="1">
        <v>0</v>
      </c>
      <c r="C403" s="1">
        <v>2</v>
      </c>
      <c r="D403" s="1" t="s">
        <v>583</v>
      </c>
      <c r="E403" s="1" t="s">
        <v>11</v>
      </c>
      <c r="F403" s="1">
        <v>38</v>
      </c>
      <c r="G403" s="1">
        <v>1</v>
      </c>
      <c r="H403" s="1">
        <v>0</v>
      </c>
      <c r="I403" s="1">
        <v>28664</v>
      </c>
      <c r="J403" s="1">
        <v>21</v>
      </c>
      <c r="L403" s="1" t="s">
        <v>15</v>
      </c>
    </row>
    <row r="404" spans="1:12" x14ac:dyDescent="0.25">
      <c r="A404" s="1">
        <v>1294</v>
      </c>
      <c r="B404" s="1">
        <v>1</v>
      </c>
      <c r="C404" s="1">
        <v>1</v>
      </c>
      <c r="D404" s="1" t="s">
        <v>584</v>
      </c>
      <c r="E404" s="1" t="s">
        <v>14</v>
      </c>
      <c r="F404" s="1">
        <v>22</v>
      </c>
      <c r="G404" s="1">
        <v>0</v>
      </c>
      <c r="H404" s="1">
        <v>1</v>
      </c>
      <c r="I404" s="1">
        <v>112378</v>
      </c>
      <c r="J404" s="1">
        <v>59.4</v>
      </c>
      <c r="L404" s="1" t="s">
        <v>23</v>
      </c>
    </row>
    <row r="405" spans="1:12" x14ac:dyDescent="0.25">
      <c r="A405" s="1">
        <v>1295</v>
      </c>
      <c r="B405" s="1">
        <v>0</v>
      </c>
      <c r="C405" s="1">
        <v>1</v>
      </c>
      <c r="D405" s="1" t="s">
        <v>585</v>
      </c>
      <c r="E405" s="1" t="s">
        <v>11</v>
      </c>
      <c r="F405" s="1">
        <v>17</v>
      </c>
      <c r="G405" s="1">
        <v>0</v>
      </c>
      <c r="H405" s="1">
        <v>0</v>
      </c>
      <c r="I405" s="1">
        <v>113059</v>
      </c>
      <c r="J405" s="1">
        <v>47.1</v>
      </c>
      <c r="L405" s="1" t="s">
        <v>15</v>
      </c>
    </row>
    <row r="406" spans="1:12" x14ac:dyDescent="0.25">
      <c r="A406" s="1">
        <v>1296</v>
      </c>
      <c r="B406" s="1">
        <v>0</v>
      </c>
      <c r="C406" s="1">
        <v>1</v>
      </c>
      <c r="D406" s="1" t="s">
        <v>586</v>
      </c>
      <c r="E406" s="1" t="s">
        <v>11</v>
      </c>
      <c r="F406" s="1">
        <v>43</v>
      </c>
      <c r="G406" s="1">
        <v>1</v>
      </c>
      <c r="H406" s="1">
        <v>0</v>
      </c>
      <c r="I406" s="1">
        <v>17765</v>
      </c>
      <c r="J406" s="1">
        <v>27.720800000000001</v>
      </c>
      <c r="K406" s="1" t="s">
        <v>587</v>
      </c>
      <c r="L406" s="1" t="s">
        <v>23</v>
      </c>
    </row>
    <row r="407" spans="1:12" x14ac:dyDescent="0.25">
      <c r="A407" s="1">
        <v>1297</v>
      </c>
      <c r="B407" s="1">
        <v>0</v>
      </c>
      <c r="C407" s="1">
        <v>2</v>
      </c>
      <c r="D407" s="1" t="s">
        <v>588</v>
      </c>
      <c r="E407" s="1" t="s">
        <v>11</v>
      </c>
      <c r="F407" s="1">
        <v>20</v>
      </c>
      <c r="G407" s="1">
        <v>0</v>
      </c>
      <c r="H407" s="1">
        <v>0</v>
      </c>
      <c r="I407" s="1" t="s">
        <v>589</v>
      </c>
      <c r="J407" s="1">
        <v>13.862500000000001</v>
      </c>
      <c r="K407" s="1" t="s">
        <v>590</v>
      </c>
      <c r="L407" s="1" t="s">
        <v>23</v>
      </c>
    </row>
    <row r="408" spans="1:12" x14ac:dyDescent="0.25">
      <c r="A408" s="1">
        <v>1298</v>
      </c>
      <c r="B408" s="1">
        <v>0</v>
      </c>
      <c r="C408" s="1">
        <v>2</v>
      </c>
      <c r="D408" s="1" t="s">
        <v>591</v>
      </c>
      <c r="E408" s="1" t="s">
        <v>11</v>
      </c>
      <c r="F408" s="1">
        <v>23</v>
      </c>
      <c r="G408" s="1">
        <v>1</v>
      </c>
      <c r="H408" s="1">
        <v>0</v>
      </c>
      <c r="I408" s="1">
        <v>28666</v>
      </c>
      <c r="J408" s="1">
        <v>10.5</v>
      </c>
      <c r="L408" s="1" t="s">
        <v>15</v>
      </c>
    </row>
    <row r="409" spans="1:12" x14ac:dyDescent="0.25">
      <c r="A409" s="1">
        <v>1299</v>
      </c>
      <c r="B409" s="1">
        <v>0</v>
      </c>
      <c r="C409" s="1">
        <v>1</v>
      </c>
      <c r="D409" s="1" t="s">
        <v>592</v>
      </c>
      <c r="E409" s="1" t="s">
        <v>11</v>
      </c>
      <c r="F409" s="1">
        <v>50</v>
      </c>
      <c r="G409" s="1">
        <v>1</v>
      </c>
      <c r="H409" s="1">
        <v>1</v>
      </c>
      <c r="I409" s="1">
        <v>113503</v>
      </c>
      <c r="J409" s="1">
        <v>211.5</v>
      </c>
      <c r="K409" s="1" t="s">
        <v>332</v>
      </c>
      <c r="L409" s="1" t="s">
        <v>23</v>
      </c>
    </row>
    <row r="410" spans="1:12" x14ac:dyDescent="0.25">
      <c r="A410" s="1">
        <v>1300</v>
      </c>
      <c r="B410" s="1">
        <v>1</v>
      </c>
      <c r="C410" s="1">
        <v>3</v>
      </c>
      <c r="D410" s="1" t="s">
        <v>593</v>
      </c>
      <c r="E410" s="1" t="s">
        <v>14</v>
      </c>
      <c r="G410" s="1">
        <v>0</v>
      </c>
      <c r="H410" s="1">
        <v>0</v>
      </c>
      <c r="I410" s="1">
        <v>334915</v>
      </c>
      <c r="J410" s="1">
        <v>7.7207999999999997</v>
      </c>
      <c r="L410" s="1" t="s">
        <v>12</v>
      </c>
    </row>
    <row r="411" spans="1:12" x14ac:dyDescent="0.25">
      <c r="A411" s="1">
        <v>1301</v>
      </c>
      <c r="B411" s="1">
        <v>1</v>
      </c>
      <c r="C411" s="1">
        <v>3</v>
      </c>
      <c r="D411" s="1" t="s">
        <v>594</v>
      </c>
      <c r="E411" s="1" t="s">
        <v>14</v>
      </c>
      <c r="F411" s="1">
        <v>3</v>
      </c>
      <c r="G411" s="1">
        <v>1</v>
      </c>
      <c r="H411" s="1">
        <v>1</v>
      </c>
      <c r="I411" s="1" t="s">
        <v>245</v>
      </c>
      <c r="J411" s="1">
        <v>13.775</v>
      </c>
      <c r="L411" s="1" t="s">
        <v>15</v>
      </c>
    </row>
    <row r="412" spans="1:12" x14ac:dyDescent="0.25">
      <c r="A412" s="1">
        <v>1302</v>
      </c>
      <c r="B412" s="1">
        <v>1</v>
      </c>
      <c r="C412" s="1">
        <v>3</v>
      </c>
      <c r="D412" s="1" t="s">
        <v>595</v>
      </c>
      <c r="E412" s="1" t="s">
        <v>14</v>
      </c>
      <c r="G412" s="1">
        <v>0</v>
      </c>
      <c r="H412" s="1">
        <v>0</v>
      </c>
      <c r="I412" s="1">
        <v>365237</v>
      </c>
      <c r="J412" s="1">
        <v>7.75</v>
      </c>
      <c r="L412" s="1" t="s">
        <v>12</v>
      </c>
    </row>
    <row r="413" spans="1:12" x14ac:dyDescent="0.25">
      <c r="A413" s="1">
        <v>1303</v>
      </c>
      <c r="B413" s="1">
        <v>1</v>
      </c>
      <c r="C413" s="1">
        <v>1</v>
      </c>
      <c r="D413" s="1" t="s">
        <v>596</v>
      </c>
      <c r="E413" s="1" t="s">
        <v>14</v>
      </c>
      <c r="F413" s="1">
        <v>37</v>
      </c>
      <c r="G413" s="1">
        <v>1</v>
      </c>
      <c r="H413" s="1">
        <v>0</v>
      </c>
      <c r="I413" s="1">
        <v>19928</v>
      </c>
      <c r="J413" s="1">
        <v>90</v>
      </c>
      <c r="K413" s="1" t="s">
        <v>69</v>
      </c>
      <c r="L413" s="1" t="s">
        <v>12</v>
      </c>
    </row>
    <row r="414" spans="1:12" x14ac:dyDescent="0.25">
      <c r="A414" s="1">
        <v>1304</v>
      </c>
      <c r="B414" s="1">
        <v>1</v>
      </c>
      <c r="C414" s="1">
        <v>3</v>
      </c>
      <c r="D414" s="1" t="s">
        <v>597</v>
      </c>
      <c r="E414" s="1" t="s">
        <v>14</v>
      </c>
      <c r="F414" s="1">
        <v>28</v>
      </c>
      <c r="G414" s="1">
        <v>0</v>
      </c>
      <c r="H414" s="1">
        <v>0</v>
      </c>
      <c r="I414" s="1">
        <v>347086</v>
      </c>
      <c r="J414" s="1">
        <v>7.7750000000000004</v>
      </c>
      <c r="L414" s="1" t="s">
        <v>15</v>
      </c>
    </row>
    <row r="415" spans="1:12" x14ac:dyDescent="0.25">
      <c r="A415" s="1">
        <v>1305</v>
      </c>
      <c r="B415" s="1">
        <v>0</v>
      </c>
      <c r="C415" s="1">
        <v>3</v>
      </c>
      <c r="D415" s="1" t="s">
        <v>598</v>
      </c>
      <c r="E415" s="1" t="s">
        <v>11</v>
      </c>
      <c r="G415" s="1">
        <v>0</v>
      </c>
      <c r="H415" s="1">
        <v>0</v>
      </c>
      <c r="I415" s="1" t="s">
        <v>599</v>
      </c>
      <c r="J415" s="1">
        <v>8.0500000000000007</v>
      </c>
      <c r="L415" s="1" t="s">
        <v>15</v>
      </c>
    </row>
    <row r="416" spans="1:12" x14ac:dyDescent="0.25">
      <c r="A416" s="1">
        <v>1306</v>
      </c>
      <c r="B416" s="1">
        <v>1</v>
      </c>
      <c r="C416" s="1">
        <v>1</v>
      </c>
      <c r="D416" s="1" t="s">
        <v>600</v>
      </c>
      <c r="E416" s="1" t="s">
        <v>14</v>
      </c>
      <c r="F416" s="1">
        <v>39</v>
      </c>
      <c r="G416" s="1">
        <v>0</v>
      </c>
      <c r="H416" s="1">
        <v>0</v>
      </c>
      <c r="I416" s="1" t="s">
        <v>601</v>
      </c>
      <c r="J416" s="1">
        <v>108.9</v>
      </c>
      <c r="K416" s="1" t="s">
        <v>602</v>
      </c>
      <c r="L416" s="1" t="s">
        <v>23</v>
      </c>
    </row>
    <row r="417" spans="1:12" x14ac:dyDescent="0.25">
      <c r="A417" s="1">
        <v>1307</v>
      </c>
      <c r="B417" s="1">
        <v>0</v>
      </c>
      <c r="C417" s="1">
        <v>3</v>
      </c>
      <c r="D417" s="1" t="s">
        <v>603</v>
      </c>
      <c r="E417" s="1" t="s">
        <v>11</v>
      </c>
      <c r="F417" s="1">
        <v>38.5</v>
      </c>
      <c r="G417" s="1">
        <v>0</v>
      </c>
      <c r="H417" s="1">
        <v>0</v>
      </c>
      <c r="I417" s="1" t="s">
        <v>604</v>
      </c>
      <c r="J417" s="1">
        <v>7.25</v>
      </c>
      <c r="L417" s="1" t="s">
        <v>15</v>
      </c>
    </row>
    <row r="418" spans="1:12" x14ac:dyDescent="0.25">
      <c r="A418" s="1">
        <v>1308</v>
      </c>
      <c r="B418" s="1">
        <v>0</v>
      </c>
      <c r="C418" s="1">
        <v>3</v>
      </c>
      <c r="D418" s="1" t="s">
        <v>605</v>
      </c>
      <c r="E418" s="1" t="s">
        <v>11</v>
      </c>
      <c r="G418" s="1">
        <v>0</v>
      </c>
      <c r="H418" s="1">
        <v>0</v>
      </c>
      <c r="I418" s="1">
        <v>359309</v>
      </c>
      <c r="J418" s="1">
        <v>8.0500000000000007</v>
      </c>
      <c r="L418" s="1" t="s">
        <v>15</v>
      </c>
    </row>
    <row r="419" spans="1:12" x14ac:dyDescent="0.25">
      <c r="A419" s="1">
        <v>1309</v>
      </c>
      <c r="B419" s="1">
        <v>0</v>
      </c>
      <c r="C419" s="1">
        <v>3</v>
      </c>
      <c r="D419" s="1" t="s">
        <v>606</v>
      </c>
      <c r="E419" s="1" t="s">
        <v>11</v>
      </c>
      <c r="G419" s="1">
        <v>1</v>
      </c>
      <c r="H419" s="1">
        <v>1</v>
      </c>
      <c r="I419" s="1">
        <v>2668</v>
      </c>
      <c r="J419" s="1">
        <v>22.3583</v>
      </c>
      <c r="L419" s="1" t="s">
        <v>23</v>
      </c>
    </row>
    <row r="424" spans="1:12" x14ac:dyDescent="0.25">
      <c r="F424" s="1">
        <f>MAX(F2:F419)</f>
        <v>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A5FA-C073-439E-A793-FBC4832D39A7}">
  <dimension ref="A1:X427"/>
  <sheetViews>
    <sheetView showGridLines="0" topLeftCell="F405" workbookViewId="0">
      <selection activeCell="N410" sqref="N410"/>
    </sheetView>
  </sheetViews>
  <sheetFormatPr defaultRowHeight="14.25" x14ac:dyDescent="0.2"/>
  <cols>
    <col min="1" max="1" width="11.44140625" bestFit="1" customWidth="1"/>
    <col min="2" max="2" width="12" bestFit="1" customWidth="1"/>
    <col min="3" max="3" width="15.77734375" bestFit="1" customWidth="1"/>
    <col min="4" max="4" width="12" bestFit="1" customWidth="1"/>
    <col min="5" max="5" width="56.44140625" bestFit="1" customWidth="1"/>
    <col min="7" max="7" width="15.88671875" bestFit="1" customWidth="1"/>
    <col min="11" max="11" width="19.33203125" bestFit="1" customWidth="1"/>
    <col min="12" max="12" width="9.5546875" bestFit="1" customWidth="1"/>
    <col min="14" max="14" width="12" bestFit="1" customWidth="1"/>
    <col min="21" max="21" width="13" bestFit="1" customWidth="1"/>
    <col min="22" max="22" width="21.109375" bestFit="1" customWidth="1"/>
    <col min="23" max="23" width="5.21875" bestFit="1" customWidth="1"/>
    <col min="24" max="24" width="11.44140625" bestFit="1" customWidth="1"/>
    <col min="25" max="129" width="4.33203125" bestFit="1" customWidth="1"/>
    <col min="130" max="439" width="5.44140625" bestFit="1" customWidth="1"/>
  </cols>
  <sheetData>
    <row r="1" spans="1:23" x14ac:dyDescent="0.2">
      <c r="A1" s="14" t="s">
        <v>0</v>
      </c>
      <c r="B1" s="14" t="s">
        <v>640</v>
      </c>
      <c r="C1" s="14" t="s">
        <v>641</v>
      </c>
      <c r="D1" s="14" t="s">
        <v>2</v>
      </c>
      <c r="E1" s="15" t="s">
        <v>618</v>
      </c>
      <c r="F1" t="s">
        <v>607</v>
      </c>
      <c r="G1" t="s">
        <v>636</v>
      </c>
      <c r="H1" t="s">
        <v>3</v>
      </c>
      <c r="I1" t="s">
        <v>4</v>
      </c>
      <c r="J1" t="s">
        <v>5</v>
      </c>
      <c r="K1" t="s">
        <v>6</v>
      </c>
      <c r="L1" t="s">
        <v>7</v>
      </c>
      <c r="M1" t="s">
        <v>8</v>
      </c>
      <c r="N1" t="s">
        <v>9</v>
      </c>
      <c r="W1" s="28" t="s">
        <v>643</v>
      </c>
    </row>
    <row r="2" spans="1:23" x14ac:dyDescent="0.2">
      <c r="A2" s="18">
        <f>Titanic_raw!A2</f>
        <v>892</v>
      </c>
      <c r="B2" s="17">
        <f>Titanic_raw!B2</f>
        <v>0</v>
      </c>
      <c r="C2" s="17" t="str">
        <f t="shared" ref="C2:C65" si="0">IF(B2=0,"Dead","Survived")</f>
        <v>Dead</v>
      </c>
      <c r="D2" s="17" t="str">
        <f>CONCATENATE(Titanic_raw!C2, " Class")</f>
        <v>3 Class</v>
      </c>
      <c r="E2" s="19" t="str">
        <f>INDEX(tbl_passenger[Full Name],MATCH(A2,tbl_passenger[PassengerId],0))</f>
        <v>Mr. James Kelly</v>
      </c>
      <c r="F2" t="str">
        <f>INDEX(tbl_passenger[Sex],MATCH(A2,tbl_passenger[PassengerId],0))</f>
        <v>Male</v>
      </c>
      <c r="G2" t="str">
        <f>IF(tbl_figures[Age]&lt;20, "Teens (0-19)", IF(tbl_figures[Age] &lt;40, "Youth (20-39)", IF(tbl_figures[Age]&lt;60, "Adult (40-59)", IF(tbl_figures[Age]&gt;=60, "Elders (60-Above)"))))</f>
        <v>Youth (20-39)</v>
      </c>
      <c r="H2" s="25">
        <f>IF(ISBLANK(Titanic_raw!F2),$C$423,Titanic_raw!F2)</f>
        <v>34.5</v>
      </c>
      <c r="I2">
        <f>Titanic_raw!G2</f>
        <v>0</v>
      </c>
      <c r="J2">
        <f>Titanic_raw!H2</f>
        <v>0</v>
      </c>
      <c r="K2">
        <f>Titanic_raw!I2</f>
        <v>330911</v>
      </c>
      <c r="L2" s="26">
        <f>IF(ISBLANK(Titanic_raw!J2),$C$427,Titanic_raw!J2)</f>
        <v>7.8292000000000002</v>
      </c>
      <c r="M2">
        <f>Titanic_raw!K2</f>
        <v>0</v>
      </c>
      <c r="N2" t="str">
        <f>IF(Titanic_raw!L2="S","Southampton",IF(Titanic_raw!L2="Q","Queenstown",IF(Titanic_raw!L2="C","Cherbourg")))</f>
        <v>Queenstown</v>
      </c>
      <c r="T2" t="s">
        <v>621</v>
      </c>
      <c r="U2" s="28" t="s">
        <v>652</v>
      </c>
    </row>
    <row r="3" spans="1:23" x14ac:dyDescent="0.2">
      <c r="A3" s="18">
        <f>Titanic_raw!A3</f>
        <v>893</v>
      </c>
      <c r="B3" s="21">
        <f>Titanic_raw!B3</f>
        <v>1</v>
      </c>
      <c r="C3" s="21" t="str">
        <f t="shared" si="0"/>
        <v>Survived</v>
      </c>
      <c r="D3" s="21" t="str">
        <f>CONCATENATE(Titanic_raw!C3, " Class")</f>
        <v>3 Class</v>
      </c>
      <c r="E3" s="23" t="str">
        <f>INDEX(tbl_passenger[Full Name],MATCH(A3,tbl_passenger[PassengerId],0))</f>
        <v>Mrs. James (Ellen Needs) Wilkes</v>
      </c>
      <c r="F3" t="str">
        <f>INDEX(tbl_passenger[Sex],MATCH(A3,tbl_passenger[PassengerId],0))</f>
        <v>Female</v>
      </c>
      <c r="G3" t="str">
        <f>IF(tbl_figures[Age]&lt;20, "Teens (0-19)", IF(tbl_figures[Age] &lt;40, "Youth (20-39)", IF(tbl_figures[Age]&lt;60, "Adult (40-59)", IF(tbl_figures[Age]&gt;=60, "Elders (60-Above)"))))</f>
        <v>Adult (40-59)</v>
      </c>
      <c r="H3" s="25">
        <f>IF(ISBLANK(Titanic_raw!F3),$C$423,Titanic_raw!F3)</f>
        <v>47</v>
      </c>
      <c r="I3">
        <f>Titanic_raw!G3</f>
        <v>1</v>
      </c>
      <c r="J3">
        <f>Titanic_raw!H3</f>
        <v>0</v>
      </c>
      <c r="K3">
        <f>Titanic_raw!I3</f>
        <v>363272</v>
      </c>
      <c r="L3" s="26">
        <f>IF(ISBLANK(Titanic_raw!J3),$C$427,Titanic_raw!J3)</f>
        <v>7</v>
      </c>
      <c r="M3">
        <f>Titanic_raw!K3</f>
        <v>0</v>
      </c>
      <c r="N3" t="str">
        <f>IF(Titanic_raw!L3="S","Southampton",IF(Titanic_raw!L3="Q","Queenstown",IF(Titanic_raw!L3="C","Cherbourg")))</f>
        <v>Southampton</v>
      </c>
      <c r="U3" s="29" t="s">
        <v>642</v>
      </c>
      <c r="V3" s="29"/>
      <c r="W3" s="30">
        <f>COUNT(tbl_passenger[PassengerId])</f>
        <v>418</v>
      </c>
    </row>
    <row r="4" spans="1:23" x14ac:dyDescent="0.2">
      <c r="A4" s="18">
        <f>Titanic_raw!A4</f>
        <v>894</v>
      </c>
      <c r="B4" s="17">
        <f>Titanic_raw!B4</f>
        <v>0</v>
      </c>
      <c r="C4" s="17" t="str">
        <f t="shared" si="0"/>
        <v>Dead</v>
      </c>
      <c r="D4" s="17" t="str">
        <f>CONCATENATE(Titanic_raw!C4, " Class")</f>
        <v>2 Class</v>
      </c>
      <c r="E4" s="19" t="str">
        <f>INDEX(tbl_passenger[Full Name],MATCH(A4,tbl_passenger[PassengerId],0))</f>
        <v>Mr. Thomas Francis Myles</v>
      </c>
      <c r="F4" t="str">
        <f>INDEX(tbl_passenger[Sex],MATCH(A4,tbl_passenger[PassengerId],0))</f>
        <v>Male</v>
      </c>
      <c r="G4" t="str">
        <f>IF(tbl_figures[Age]&lt;20, "Teens (0-19)", IF(tbl_figures[Age] &lt;40, "Youth (20-39)", IF(tbl_figures[Age]&lt;60, "Adult (40-59)", IF(tbl_figures[Age]&gt;=60, "Elders (60-Above)"))))</f>
        <v>Elders (60-Above)</v>
      </c>
      <c r="H4" s="25">
        <f>IF(ISBLANK(Titanic_raw!F4),$C$423,Titanic_raw!F4)</f>
        <v>62</v>
      </c>
      <c r="I4">
        <f>Titanic_raw!G4</f>
        <v>0</v>
      </c>
      <c r="J4">
        <f>Titanic_raw!H4</f>
        <v>0</v>
      </c>
      <c r="K4">
        <f>Titanic_raw!I4</f>
        <v>240276</v>
      </c>
      <c r="L4" s="26">
        <f>IF(ISBLANK(Titanic_raw!J4),$C$427,Titanic_raw!J4)</f>
        <v>9.6875</v>
      </c>
      <c r="M4">
        <f>Titanic_raw!K4</f>
        <v>0</v>
      </c>
      <c r="N4" t="str">
        <f>IF(Titanic_raw!L4="S","Southampton",IF(Titanic_raw!L4="Q","Queenstown",IF(Titanic_raw!L4="C","Cherbourg")))</f>
        <v>Queenstown</v>
      </c>
      <c r="U4" t="s">
        <v>653</v>
      </c>
    </row>
    <row r="5" spans="1:23" x14ac:dyDescent="0.2">
      <c r="A5" s="18">
        <f>Titanic_raw!A5</f>
        <v>895</v>
      </c>
      <c r="B5" s="21">
        <f>Titanic_raw!B5</f>
        <v>0</v>
      </c>
      <c r="C5" s="21" t="str">
        <f t="shared" si="0"/>
        <v>Dead</v>
      </c>
      <c r="D5" s="21" t="str">
        <f>CONCATENATE(Titanic_raw!C5, " Class")</f>
        <v>3 Class</v>
      </c>
      <c r="E5" s="23" t="str">
        <f>INDEX(tbl_passenger[Full Name],MATCH(A5,tbl_passenger[PassengerId],0))</f>
        <v>Mr. Albert Wirz</v>
      </c>
      <c r="F5" t="str">
        <f>INDEX(tbl_passenger[Sex],MATCH(A5,tbl_passenger[PassengerId],0))</f>
        <v>Male</v>
      </c>
      <c r="G5" t="str">
        <f>IF(tbl_figures[Age]&lt;20, "Teens (0-19)", IF(tbl_figures[Age] &lt;40, "Youth (20-39)", IF(tbl_figures[Age]&lt;60, "Adult (40-59)", IF(tbl_figures[Age]&gt;=60, "Elders (60-Above)"))))</f>
        <v>Youth (20-39)</v>
      </c>
      <c r="H5" s="25">
        <f>IF(ISBLANK(Titanic_raw!F5),$C$423,Titanic_raw!F5)</f>
        <v>27</v>
      </c>
      <c r="I5">
        <f>Titanic_raw!G5</f>
        <v>0</v>
      </c>
      <c r="J5">
        <f>Titanic_raw!H5</f>
        <v>0</v>
      </c>
      <c r="K5">
        <f>Titanic_raw!I5</f>
        <v>315154</v>
      </c>
      <c r="L5" s="26">
        <f>IF(ISBLANK(Titanic_raw!J5),$C$427,Titanic_raw!J5)</f>
        <v>8.6624999999999996</v>
      </c>
      <c r="M5">
        <f>Titanic_raw!K5</f>
        <v>0</v>
      </c>
      <c r="N5" t="str">
        <f>IF(Titanic_raw!L5="S","Southampton",IF(Titanic_raw!L5="Q","Queenstown",IF(Titanic_raw!L5="C","Cherbourg")))</f>
        <v>Southampton</v>
      </c>
      <c r="U5" t="s">
        <v>633</v>
      </c>
      <c r="V5" t="s">
        <v>654</v>
      </c>
    </row>
    <row r="6" spans="1:23" x14ac:dyDescent="0.2">
      <c r="A6" s="18">
        <f>Titanic_raw!A6</f>
        <v>896</v>
      </c>
      <c r="B6" s="17">
        <f>Titanic_raw!B6</f>
        <v>1</v>
      </c>
      <c r="C6" s="17" t="str">
        <f t="shared" si="0"/>
        <v>Survived</v>
      </c>
      <c r="D6" s="17" t="str">
        <f>CONCATENATE(Titanic_raw!C6, " Class")</f>
        <v>3 Class</v>
      </c>
      <c r="E6" s="19" t="str">
        <f>INDEX(tbl_passenger[Full Name],MATCH(A6,tbl_passenger[PassengerId],0))</f>
        <v>Mrs. Alexander (Helga E Lindqvist) Hirvonen</v>
      </c>
      <c r="F6" t="str">
        <f>INDEX(tbl_passenger[Sex],MATCH(A6,tbl_passenger[PassengerId],0))</f>
        <v>Female</v>
      </c>
      <c r="G6" t="str">
        <f>IF(tbl_figures[Age]&lt;20, "Teens (0-19)", IF(tbl_figures[Age] &lt;40, "Youth (20-39)", IF(tbl_figures[Age]&lt;60, "Adult (40-59)", IF(tbl_figures[Age]&gt;=60, "Elders (60-Above)"))))</f>
        <v>Youth (20-39)</v>
      </c>
      <c r="H6" s="25">
        <f>IF(ISBLANK(Titanic_raw!F6),$C$423,Titanic_raw!F6)</f>
        <v>22</v>
      </c>
      <c r="I6">
        <f>Titanic_raw!G6</f>
        <v>1</v>
      </c>
      <c r="J6">
        <f>Titanic_raw!H6</f>
        <v>1</v>
      </c>
      <c r="K6">
        <f>Titanic_raw!I6</f>
        <v>3101298</v>
      </c>
      <c r="L6" s="26">
        <f>IF(ISBLANK(Titanic_raw!J6),$C$427,Titanic_raw!J6)</f>
        <v>12.2875</v>
      </c>
      <c r="M6">
        <f>Titanic_raw!K6</f>
        <v>0</v>
      </c>
      <c r="N6" t="str">
        <f>IF(Titanic_raw!L6="S","Southampton",IF(Titanic_raw!L6="Q","Queenstown",IF(Titanic_raw!L6="C","Cherbourg")))</f>
        <v>Southampton</v>
      </c>
      <c r="U6" s="4">
        <v>418</v>
      </c>
      <c r="V6" s="31">
        <v>1</v>
      </c>
    </row>
    <row r="7" spans="1:23" x14ac:dyDescent="0.2">
      <c r="A7" s="18">
        <f>Titanic_raw!A7</f>
        <v>897</v>
      </c>
      <c r="B7" s="21">
        <f>Titanic_raw!B7</f>
        <v>0</v>
      </c>
      <c r="C7" s="21" t="str">
        <f t="shared" si="0"/>
        <v>Dead</v>
      </c>
      <c r="D7" s="21" t="str">
        <f>CONCATENATE(Titanic_raw!C7, " Class")</f>
        <v>3 Class</v>
      </c>
      <c r="E7" s="23" t="str">
        <f>INDEX(tbl_passenger[Full Name],MATCH(A7,tbl_passenger[PassengerId],0))</f>
        <v>Mr. Johan Cervin Svensson</v>
      </c>
      <c r="F7" t="str">
        <f>INDEX(tbl_passenger[Sex],MATCH(A7,tbl_passenger[PassengerId],0))</f>
        <v>Male</v>
      </c>
      <c r="G7" t="str">
        <f>IF(tbl_figures[Age]&lt;20, "Teens (0-19)", IF(tbl_figures[Age] &lt;40, "Youth (20-39)", IF(tbl_figures[Age]&lt;60, "Adult (40-59)", IF(tbl_figures[Age]&gt;=60, "Elders (60-Above)"))))</f>
        <v>Teens (0-19)</v>
      </c>
      <c r="H7" s="25">
        <f>IF(ISBLANK(Titanic_raw!F7),$C$423,Titanic_raw!F7)</f>
        <v>14</v>
      </c>
      <c r="I7">
        <f>Titanic_raw!G7</f>
        <v>0</v>
      </c>
      <c r="J7">
        <f>Titanic_raw!H7</f>
        <v>0</v>
      </c>
      <c r="K7">
        <f>Titanic_raw!I7</f>
        <v>7538</v>
      </c>
      <c r="L7" s="26">
        <f>IF(ISBLANK(Titanic_raw!J7),$C$427,Titanic_raw!J7)</f>
        <v>9.2249999999999996</v>
      </c>
      <c r="M7">
        <f>Titanic_raw!K7</f>
        <v>0</v>
      </c>
      <c r="N7" t="str">
        <f>IF(Titanic_raw!L7="S","Southampton",IF(Titanic_raw!L7="Q","Queenstown",IF(Titanic_raw!L7="C","Cherbourg")))</f>
        <v>Southampton</v>
      </c>
    </row>
    <row r="8" spans="1:23" x14ac:dyDescent="0.2">
      <c r="A8" s="18">
        <f>Titanic_raw!A8</f>
        <v>898</v>
      </c>
      <c r="B8" s="17">
        <f>Titanic_raw!B8</f>
        <v>1</v>
      </c>
      <c r="C8" s="17" t="str">
        <f t="shared" si="0"/>
        <v>Survived</v>
      </c>
      <c r="D8" s="17" t="str">
        <f>CONCATENATE(Titanic_raw!C8, " Class")</f>
        <v>3 Class</v>
      </c>
      <c r="E8" s="19" t="str">
        <f>INDEX(tbl_passenger[Full Name],MATCH(A8,tbl_passenger[PassengerId],0))</f>
        <v>Miss. Kate Connolly</v>
      </c>
      <c r="F8" t="str">
        <f>INDEX(tbl_passenger[Sex],MATCH(A8,tbl_passenger[PassengerId],0))</f>
        <v>Female</v>
      </c>
      <c r="G8" t="str">
        <f>IF(tbl_figures[Age]&lt;20, "Teens (0-19)", IF(tbl_figures[Age] &lt;40, "Youth (20-39)", IF(tbl_figures[Age]&lt;60, "Adult (40-59)", IF(tbl_figures[Age]&gt;=60, "Elders (60-Above)"))))</f>
        <v>Youth (20-39)</v>
      </c>
      <c r="H8" s="25">
        <f>IF(ISBLANK(Titanic_raw!F8),$C$423,Titanic_raw!F8)</f>
        <v>30</v>
      </c>
      <c r="I8">
        <f>Titanic_raw!G8</f>
        <v>0</v>
      </c>
      <c r="J8">
        <f>Titanic_raw!H8</f>
        <v>0</v>
      </c>
      <c r="K8">
        <f>Titanic_raw!I8</f>
        <v>330972</v>
      </c>
      <c r="L8" s="26">
        <f>IF(ISBLANK(Titanic_raw!J8),$C$427,Titanic_raw!J8)</f>
        <v>7.6292</v>
      </c>
      <c r="M8">
        <f>Titanic_raw!K8</f>
        <v>0</v>
      </c>
      <c r="N8" t="str">
        <f>IF(Titanic_raw!L8="S","Southampton",IF(Titanic_raw!L8="Q","Queenstown",IF(Titanic_raw!L8="C","Cherbourg")))</f>
        <v>Queenstown</v>
      </c>
    </row>
    <row r="9" spans="1:23" x14ac:dyDescent="0.2">
      <c r="A9" s="18">
        <f>Titanic_raw!A9</f>
        <v>899</v>
      </c>
      <c r="B9" s="21">
        <f>Titanic_raw!B9</f>
        <v>0</v>
      </c>
      <c r="C9" s="21" t="str">
        <f t="shared" si="0"/>
        <v>Dead</v>
      </c>
      <c r="D9" s="21" t="str">
        <f>CONCATENATE(Titanic_raw!C9, " Class")</f>
        <v>2 Class</v>
      </c>
      <c r="E9" s="23" t="str">
        <f>INDEX(tbl_passenger[Full Name],MATCH(A9,tbl_passenger[PassengerId],0))</f>
        <v>Mr. Albert Francis Caldwell</v>
      </c>
      <c r="F9" t="str">
        <f>INDEX(tbl_passenger[Sex],MATCH(A9,tbl_passenger[PassengerId],0))</f>
        <v>Male</v>
      </c>
      <c r="G9" t="str">
        <f>IF(tbl_figures[Age]&lt;20, "Teens (0-19)", IF(tbl_figures[Age] &lt;40, "Youth (20-39)", IF(tbl_figures[Age]&lt;60, "Adult (40-59)", IF(tbl_figures[Age]&gt;=60, "Elders (60-Above)"))))</f>
        <v>Youth (20-39)</v>
      </c>
      <c r="H9" s="25">
        <f>IF(ISBLANK(Titanic_raw!F9),$C$423,Titanic_raw!F9)</f>
        <v>26</v>
      </c>
      <c r="I9">
        <f>Titanic_raw!G9</f>
        <v>1</v>
      </c>
      <c r="J9">
        <f>Titanic_raw!H9</f>
        <v>1</v>
      </c>
      <c r="K9">
        <f>Titanic_raw!I9</f>
        <v>248738</v>
      </c>
      <c r="L9" s="26">
        <f>IF(ISBLANK(Titanic_raw!J9),$C$427,Titanic_raw!J9)</f>
        <v>29</v>
      </c>
      <c r="M9">
        <f>Titanic_raw!K9</f>
        <v>0</v>
      </c>
      <c r="N9" t="str">
        <f>IF(Titanic_raw!L9="S","Southampton",IF(Titanic_raw!L9="Q","Queenstown",IF(Titanic_raw!L9="C","Cherbourg")))</f>
        <v>Southampton</v>
      </c>
    </row>
    <row r="10" spans="1:23" x14ac:dyDescent="0.2">
      <c r="A10" s="18">
        <f>Titanic_raw!A10</f>
        <v>900</v>
      </c>
      <c r="B10" s="17">
        <f>Titanic_raw!B10</f>
        <v>1</v>
      </c>
      <c r="C10" s="17" t="str">
        <f t="shared" si="0"/>
        <v>Survived</v>
      </c>
      <c r="D10" s="17" t="str">
        <f>CONCATENATE(Titanic_raw!C10, " Class")</f>
        <v>3 Class</v>
      </c>
      <c r="E10" s="19" t="str">
        <f>INDEX(tbl_passenger[Full Name],MATCH(A10,tbl_passenger[PassengerId],0))</f>
        <v>Mrs. Joseph (Sophie Halaut Easu) Abrahim</v>
      </c>
      <c r="F10" t="str">
        <f>INDEX(tbl_passenger[Sex],MATCH(A10,tbl_passenger[PassengerId],0))</f>
        <v>Female</v>
      </c>
      <c r="G10" t="str">
        <f>IF(tbl_figures[Age]&lt;20, "Teens (0-19)", IF(tbl_figures[Age] &lt;40, "Youth (20-39)", IF(tbl_figures[Age]&lt;60, "Adult (40-59)", IF(tbl_figures[Age]&gt;=60, "Elders (60-Above)"))))</f>
        <v>Teens (0-19)</v>
      </c>
      <c r="H10" s="25">
        <f>IF(ISBLANK(Titanic_raw!F10),$C$423,Titanic_raw!F10)</f>
        <v>18</v>
      </c>
      <c r="I10">
        <f>Titanic_raw!G10</f>
        <v>0</v>
      </c>
      <c r="J10">
        <f>Titanic_raw!H10</f>
        <v>0</v>
      </c>
      <c r="K10">
        <f>Titanic_raw!I10</f>
        <v>2657</v>
      </c>
      <c r="L10" s="26">
        <f>IF(ISBLANK(Titanic_raw!J10),$C$427,Titanic_raw!J10)</f>
        <v>7.2291999999999996</v>
      </c>
      <c r="M10">
        <f>Titanic_raw!K10</f>
        <v>0</v>
      </c>
      <c r="N10" t="str">
        <f>IF(Titanic_raw!L10="S","Southampton",IF(Titanic_raw!L10="Q","Queenstown",IF(Titanic_raw!L10="C","Cherbourg")))</f>
        <v>Cherbourg</v>
      </c>
      <c r="T10" t="s">
        <v>622</v>
      </c>
      <c r="U10" s="5" t="s">
        <v>630</v>
      </c>
      <c r="V10" t="s">
        <v>633</v>
      </c>
      <c r="W10" t="s">
        <v>654</v>
      </c>
    </row>
    <row r="11" spans="1:23" x14ac:dyDescent="0.2">
      <c r="A11" s="18">
        <f>Titanic_raw!A11</f>
        <v>901</v>
      </c>
      <c r="B11" s="21">
        <f>Titanic_raw!B11</f>
        <v>0</v>
      </c>
      <c r="C11" s="21" t="str">
        <f t="shared" si="0"/>
        <v>Dead</v>
      </c>
      <c r="D11" s="21" t="str">
        <f>CONCATENATE(Titanic_raw!C11, " Class")</f>
        <v>3 Class</v>
      </c>
      <c r="E11" s="23" t="str">
        <f>INDEX(tbl_passenger[Full Name],MATCH(A11,tbl_passenger[PassengerId],0))</f>
        <v>Mr. John Samuel Davies</v>
      </c>
      <c r="F11" t="str">
        <f>INDEX(tbl_passenger[Sex],MATCH(A11,tbl_passenger[PassengerId],0))</f>
        <v>Male</v>
      </c>
      <c r="G11" t="str">
        <f>IF(tbl_figures[Age]&lt;20, "Teens (0-19)", IF(tbl_figures[Age] &lt;40, "Youth (20-39)", IF(tbl_figures[Age]&lt;60, "Adult (40-59)", IF(tbl_figures[Age]&gt;=60, "Elders (60-Above)"))))</f>
        <v>Youth (20-39)</v>
      </c>
      <c r="H11" s="25">
        <f>IF(ISBLANK(Titanic_raw!F11),$C$423,Titanic_raw!F11)</f>
        <v>21</v>
      </c>
      <c r="I11">
        <f>Titanic_raw!G11</f>
        <v>2</v>
      </c>
      <c r="J11">
        <f>Titanic_raw!H11</f>
        <v>0</v>
      </c>
      <c r="K11" t="str">
        <f>Titanic_raw!I11</f>
        <v>A/4 48871</v>
      </c>
      <c r="L11" s="26">
        <f>IF(ISBLANK(Titanic_raw!J11),$C$427,Titanic_raw!J11)</f>
        <v>24.15</v>
      </c>
      <c r="M11">
        <f>Titanic_raw!K11</f>
        <v>0</v>
      </c>
      <c r="N11" t="str">
        <f>IF(Titanic_raw!L11="S","Southampton",IF(Titanic_raw!L11="Q","Queenstown",IF(Titanic_raw!L11="C","Cherbourg")))</f>
        <v>Southampton</v>
      </c>
      <c r="U11" s="6" t="s">
        <v>644</v>
      </c>
      <c r="V11" s="4">
        <v>218</v>
      </c>
      <c r="W11" s="32">
        <v>0.51853550691399519</v>
      </c>
    </row>
    <row r="12" spans="1:23" x14ac:dyDescent="0.2">
      <c r="A12" s="18">
        <f>Titanic_raw!A12</f>
        <v>902</v>
      </c>
      <c r="B12" s="17">
        <f>Titanic_raw!B12</f>
        <v>0</v>
      </c>
      <c r="C12" s="17" t="str">
        <f t="shared" si="0"/>
        <v>Dead</v>
      </c>
      <c r="D12" s="17" t="str">
        <f>CONCATENATE(Titanic_raw!C12, " Class")</f>
        <v>3 Class</v>
      </c>
      <c r="E12" s="19" t="str">
        <f>INDEX(tbl_passenger[Full Name],MATCH(A12,tbl_passenger[PassengerId],0))</f>
        <v>Mr. Ylio Ilieff</v>
      </c>
      <c r="F12" t="str">
        <f>INDEX(tbl_passenger[Sex],MATCH(A12,tbl_passenger[PassengerId],0))</f>
        <v>Male</v>
      </c>
      <c r="G12" t="str">
        <f>IF(tbl_figures[Age]&lt;20, "Teens (0-19)", IF(tbl_figures[Age] &lt;40, "Youth (20-39)", IF(tbl_figures[Age]&lt;60, "Adult (40-59)", IF(tbl_figures[Age]&gt;=60, "Elders (60-Above)"))))</f>
        <v>Youth (20-39)</v>
      </c>
      <c r="H12" s="25">
        <f>IF(ISBLANK(Titanic_raw!F12),$C$423,Titanic_raw!F12)</f>
        <v>30.272590325616491</v>
      </c>
      <c r="I12">
        <f>Titanic_raw!G12</f>
        <v>0</v>
      </c>
      <c r="J12">
        <f>Titanic_raw!H12</f>
        <v>0</v>
      </c>
      <c r="K12">
        <f>Titanic_raw!I12</f>
        <v>349220</v>
      </c>
      <c r="L12" s="26">
        <f>IF(ISBLANK(Titanic_raw!J12),$C$427,Titanic_raw!J12)</f>
        <v>7.8958000000000004</v>
      </c>
      <c r="M12">
        <f>Titanic_raw!K12</f>
        <v>0</v>
      </c>
      <c r="N12" t="str">
        <f>IF(Titanic_raw!L12="S","Southampton",IF(Titanic_raw!L12="Q","Queenstown",IF(Titanic_raw!L12="C","Cherbourg")))</f>
        <v>Southampton</v>
      </c>
      <c r="U12" s="6" t="s">
        <v>645</v>
      </c>
      <c r="V12" s="4">
        <v>107</v>
      </c>
      <c r="W12" s="32">
        <v>0.25545152377453484</v>
      </c>
    </row>
    <row r="13" spans="1:23" x14ac:dyDescent="0.2">
      <c r="A13" s="18">
        <f>Titanic_raw!A13</f>
        <v>903</v>
      </c>
      <c r="B13" s="21">
        <f>Titanic_raw!B13</f>
        <v>0</v>
      </c>
      <c r="C13" s="21" t="str">
        <f t="shared" si="0"/>
        <v>Dead</v>
      </c>
      <c r="D13" s="21" t="str">
        <f>CONCATENATE(Titanic_raw!C13, " Class")</f>
        <v>1 Class</v>
      </c>
      <c r="E13" s="23" t="str">
        <f>INDEX(tbl_passenger[Full Name],MATCH(A13,tbl_passenger[PassengerId],0))</f>
        <v>Mr. Charles Cresson Jones</v>
      </c>
      <c r="F13" t="str">
        <f>INDEX(tbl_passenger[Sex],MATCH(A13,tbl_passenger[PassengerId],0))</f>
        <v>Male</v>
      </c>
      <c r="G13" t="str">
        <f>IF(tbl_figures[Age]&lt;20, "Teens (0-19)", IF(tbl_figures[Age] &lt;40, "Youth (20-39)", IF(tbl_figures[Age]&lt;60, "Adult (40-59)", IF(tbl_figures[Age]&gt;=60, "Elders (60-Above)"))))</f>
        <v>Adult (40-59)</v>
      </c>
      <c r="H13" s="25">
        <f>IF(ISBLANK(Titanic_raw!F13),$C$423,Titanic_raw!F13)</f>
        <v>46</v>
      </c>
      <c r="I13">
        <f>Titanic_raw!G13</f>
        <v>0</v>
      </c>
      <c r="J13">
        <f>Titanic_raw!H13</f>
        <v>0</v>
      </c>
      <c r="K13">
        <f>Titanic_raw!I13</f>
        <v>694</v>
      </c>
      <c r="L13" s="26">
        <f>IF(ISBLANK(Titanic_raw!J13),$C$427,Titanic_raw!J13)</f>
        <v>26</v>
      </c>
      <c r="M13">
        <f>Titanic_raw!K13</f>
        <v>0</v>
      </c>
      <c r="N13" t="str">
        <f>IF(Titanic_raw!L13="S","Southampton",IF(Titanic_raw!L13="Q","Queenstown",IF(Titanic_raw!L13="C","Cherbourg")))</f>
        <v>Southampton</v>
      </c>
      <c r="U13" s="6" t="s">
        <v>646</v>
      </c>
      <c r="V13" s="4">
        <v>93</v>
      </c>
      <c r="W13" s="32">
        <v>0.22601296931147</v>
      </c>
    </row>
    <row r="14" spans="1:23" x14ac:dyDescent="0.2">
      <c r="A14" s="18">
        <f>Titanic_raw!A14</f>
        <v>904</v>
      </c>
      <c r="B14" s="17">
        <f>Titanic_raw!B14</f>
        <v>1</v>
      </c>
      <c r="C14" s="17" t="str">
        <f t="shared" si="0"/>
        <v>Survived</v>
      </c>
      <c r="D14" s="17" t="str">
        <f>CONCATENATE(Titanic_raw!C14, " Class")</f>
        <v>1 Class</v>
      </c>
      <c r="E14" s="19" t="str">
        <f>INDEX(tbl_passenger[Full Name],MATCH(A14,tbl_passenger[PassengerId],0))</f>
        <v>Mrs. John Pillsbury (Nelle Stevenson) Snyder</v>
      </c>
      <c r="F14" t="str">
        <f>INDEX(tbl_passenger[Sex],MATCH(A14,tbl_passenger[PassengerId],0))</f>
        <v>Female</v>
      </c>
      <c r="G14" t="str">
        <f>IF(tbl_figures[Age]&lt;20, "Teens (0-19)", IF(tbl_figures[Age] &lt;40, "Youth (20-39)", IF(tbl_figures[Age]&lt;60, "Adult (40-59)", IF(tbl_figures[Age]&gt;=60, "Elders (60-Above)"))))</f>
        <v>Youth (20-39)</v>
      </c>
      <c r="H14" s="25">
        <f>IF(ISBLANK(Titanic_raw!F14),$C$423,Titanic_raw!F14)</f>
        <v>23</v>
      </c>
      <c r="I14">
        <f>Titanic_raw!G14</f>
        <v>1</v>
      </c>
      <c r="J14">
        <f>Titanic_raw!H14</f>
        <v>0</v>
      </c>
      <c r="K14">
        <f>Titanic_raw!I14</f>
        <v>21228</v>
      </c>
      <c r="L14" s="26">
        <f>IF(ISBLANK(Titanic_raw!J14),$C$427,Titanic_raw!J14)</f>
        <v>82.2667</v>
      </c>
      <c r="M14" t="str">
        <f>Titanic_raw!K14</f>
        <v>B45</v>
      </c>
      <c r="N14" t="str">
        <f>IF(Titanic_raw!L14="S","Southampton",IF(Titanic_raw!L14="Q","Queenstown",IF(Titanic_raw!L14="C","Cherbourg")))</f>
        <v>Southampton</v>
      </c>
      <c r="U14" s="6" t="s">
        <v>631</v>
      </c>
      <c r="V14" s="4">
        <v>418</v>
      </c>
      <c r="W14" s="31">
        <v>1</v>
      </c>
    </row>
    <row r="15" spans="1:23" x14ac:dyDescent="0.2">
      <c r="A15" s="18">
        <f>Titanic_raw!A15</f>
        <v>905</v>
      </c>
      <c r="B15" s="21">
        <f>Titanic_raw!B15</f>
        <v>0</v>
      </c>
      <c r="C15" s="21" t="str">
        <f t="shared" si="0"/>
        <v>Dead</v>
      </c>
      <c r="D15" s="21" t="str">
        <f>CONCATENATE(Titanic_raw!C15, " Class")</f>
        <v>2 Class</v>
      </c>
      <c r="E15" s="23" t="str">
        <f>INDEX(tbl_passenger[Full Name],MATCH(A15,tbl_passenger[PassengerId],0))</f>
        <v>Mr. Benjamin Howard</v>
      </c>
      <c r="F15" t="str">
        <f>INDEX(tbl_passenger[Sex],MATCH(A15,tbl_passenger[PassengerId],0))</f>
        <v>Male</v>
      </c>
      <c r="G15" t="str">
        <f>IF(tbl_figures[Age]&lt;20, "Teens (0-19)", IF(tbl_figures[Age] &lt;40, "Youth (20-39)", IF(tbl_figures[Age]&lt;60, "Adult (40-59)", IF(tbl_figures[Age]&gt;=60, "Elders (60-Above)"))))</f>
        <v>Elders (60-Above)</v>
      </c>
      <c r="H15" s="25">
        <f>IF(ISBLANK(Titanic_raw!F15),$C$423,Titanic_raw!F15)</f>
        <v>63</v>
      </c>
      <c r="I15">
        <f>Titanic_raw!G15</f>
        <v>1</v>
      </c>
      <c r="J15">
        <f>Titanic_raw!H15</f>
        <v>0</v>
      </c>
      <c r="K15">
        <f>Titanic_raw!I15</f>
        <v>24065</v>
      </c>
      <c r="L15" s="26">
        <f>IF(ISBLANK(Titanic_raw!J15),$C$427,Titanic_raw!J15)</f>
        <v>26</v>
      </c>
      <c r="M15">
        <f>Titanic_raw!K15</f>
        <v>0</v>
      </c>
      <c r="N15" t="str">
        <f>IF(Titanic_raw!L15="S","Southampton",IF(Titanic_raw!L15="Q","Queenstown",IF(Titanic_raw!L15="C","Cherbourg")))</f>
        <v>Southampton</v>
      </c>
    </row>
    <row r="16" spans="1:23" x14ac:dyDescent="0.2">
      <c r="A16" s="18">
        <f>Titanic_raw!A16</f>
        <v>906</v>
      </c>
      <c r="B16" s="17">
        <f>Titanic_raw!B16</f>
        <v>1</v>
      </c>
      <c r="C16" s="17" t="str">
        <f t="shared" si="0"/>
        <v>Survived</v>
      </c>
      <c r="D16" s="17" t="str">
        <f>CONCATENATE(Titanic_raw!C16, " Class")</f>
        <v>1 Class</v>
      </c>
      <c r="E16" s="19" t="str">
        <f>INDEX(tbl_passenger[Full Name],MATCH(A16,tbl_passenger[PassengerId],0))</f>
        <v>Mrs. Herbert Fuller (Carrie Constance Toogood) Chaffee</v>
      </c>
      <c r="F16" t="str">
        <f>INDEX(tbl_passenger[Sex],MATCH(A16,tbl_passenger[PassengerId],0))</f>
        <v>Female</v>
      </c>
      <c r="G16" t="str">
        <f>IF(tbl_figures[Age]&lt;20, "Teens (0-19)", IF(tbl_figures[Age] &lt;40, "Youth (20-39)", IF(tbl_figures[Age]&lt;60, "Adult (40-59)", IF(tbl_figures[Age]&gt;=60, "Elders (60-Above)"))))</f>
        <v>Adult (40-59)</v>
      </c>
      <c r="H16" s="25">
        <f>IF(ISBLANK(Titanic_raw!F16),$C$423,Titanic_raw!F16)</f>
        <v>47</v>
      </c>
      <c r="I16">
        <f>Titanic_raw!G16</f>
        <v>1</v>
      </c>
      <c r="J16">
        <f>Titanic_raw!H16</f>
        <v>0</v>
      </c>
      <c r="K16" t="str">
        <f>Titanic_raw!I16</f>
        <v>W.E.P. 5734</v>
      </c>
      <c r="L16" s="26">
        <f>IF(ISBLANK(Titanic_raw!J16),$C$427,Titanic_raw!J16)</f>
        <v>61.174999999999997</v>
      </c>
      <c r="M16" t="str">
        <f>Titanic_raw!K16</f>
        <v>E31</v>
      </c>
      <c r="N16" t="str">
        <f>IF(Titanic_raw!L16="S","Southampton",IF(Titanic_raw!L16="Q","Queenstown",IF(Titanic_raw!L16="C","Cherbourg")))</f>
        <v>Southampton</v>
      </c>
    </row>
    <row r="17" spans="1:21" x14ac:dyDescent="0.2">
      <c r="A17" s="18">
        <f>Titanic_raw!A17</f>
        <v>907</v>
      </c>
      <c r="B17" s="21">
        <f>Titanic_raw!B17</f>
        <v>1</v>
      </c>
      <c r="C17" s="21" t="str">
        <f t="shared" si="0"/>
        <v>Survived</v>
      </c>
      <c r="D17" s="21" t="str">
        <f>CONCATENATE(Titanic_raw!C17, " Class")</f>
        <v>2 Class</v>
      </c>
      <c r="E17" s="23" t="str">
        <f>INDEX(tbl_passenger[Full Name],MATCH(A17,tbl_passenger[PassengerId],0))</f>
        <v>Mrs. Sebastiano (Argenia Genovesi) del Carlo</v>
      </c>
      <c r="F17" t="str">
        <f>INDEX(tbl_passenger[Sex],MATCH(A17,tbl_passenger[PassengerId],0))</f>
        <v>Female</v>
      </c>
      <c r="G17" t="str">
        <f>IF(tbl_figures[Age]&lt;20, "Teens (0-19)", IF(tbl_figures[Age] &lt;40, "Youth (20-39)", IF(tbl_figures[Age]&lt;60, "Adult (40-59)", IF(tbl_figures[Age]&gt;=60, "Elders (60-Above)"))))</f>
        <v>Youth (20-39)</v>
      </c>
      <c r="H17" s="25">
        <f>IF(ISBLANK(Titanic_raw!F17),$C$423,Titanic_raw!F17)</f>
        <v>24</v>
      </c>
      <c r="I17">
        <f>Titanic_raw!G17</f>
        <v>1</v>
      </c>
      <c r="J17">
        <f>Titanic_raw!H17</f>
        <v>0</v>
      </c>
      <c r="K17" t="str">
        <f>Titanic_raw!I17</f>
        <v>SC/PARIS 2167</v>
      </c>
      <c r="L17" s="26">
        <f>IF(ISBLANK(Titanic_raw!J17),$C$427,Titanic_raw!J17)</f>
        <v>27.720800000000001</v>
      </c>
      <c r="M17">
        <f>Titanic_raw!K17</f>
        <v>0</v>
      </c>
      <c r="N17" t="str">
        <f>IF(Titanic_raw!L17="S","Southampton",IF(Titanic_raw!L17="Q","Queenstown",IF(Titanic_raw!L17="C","Cherbourg")))</f>
        <v>Cherbourg</v>
      </c>
    </row>
    <row r="18" spans="1:21" x14ac:dyDescent="0.2">
      <c r="A18" s="18">
        <f>Titanic_raw!A18</f>
        <v>908</v>
      </c>
      <c r="B18" s="17">
        <f>Titanic_raw!B18</f>
        <v>0</v>
      </c>
      <c r="C18" s="17" t="str">
        <f t="shared" si="0"/>
        <v>Dead</v>
      </c>
      <c r="D18" s="17" t="str">
        <f>CONCATENATE(Titanic_raw!C18, " Class")</f>
        <v>2 Class</v>
      </c>
      <c r="E18" s="19" t="str">
        <f>INDEX(tbl_passenger[Full Name],MATCH(A18,tbl_passenger[PassengerId],0))</f>
        <v>Mr. Daniel Keane</v>
      </c>
      <c r="F18" t="str">
        <f>INDEX(tbl_passenger[Sex],MATCH(A18,tbl_passenger[PassengerId],0))</f>
        <v>Male</v>
      </c>
      <c r="G18" t="str">
        <f>IF(tbl_figures[Age]&lt;20, "Teens (0-19)", IF(tbl_figures[Age] &lt;40, "Youth (20-39)", IF(tbl_figures[Age]&lt;60, "Adult (40-59)", IF(tbl_figures[Age]&gt;=60, "Elders (60-Above)"))))</f>
        <v>Youth (20-39)</v>
      </c>
      <c r="H18" s="25">
        <f>IF(ISBLANK(Titanic_raw!F18),$C$423,Titanic_raw!F18)</f>
        <v>35</v>
      </c>
      <c r="I18">
        <f>Titanic_raw!G18</f>
        <v>0</v>
      </c>
      <c r="J18">
        <f>Titanic_raw!H18</f>
        <v>0</v>
      </c>
      <c r="K18">
        <f>Titanic_raw!I18</f>
        <v>233734</v>
      </c>
      <c r="L18" s="26">
        <f>IF(ISBLANK(Titanic_raw!J18),$C$427,Titanic_raw!J18)</f>
        <v>12.35</v>
      </c>
      <c r="M18">
        <f>Titanic_raw!K18</f>
        <v>0</v>
      </c>
      <c r="N18" t="str">
        <f>IF(Titanic_raw!L18="S","Southampton",IF(Titanic_raw!L18="Q","Queenstown",IF(Titanic_raw!L18="C","Cherbourg")))</f>
        <v>Queenstown</v>
      </c>
    </row>
    <row r="19" spans="1:21" x14ac:dyDescent="0.2">
      <c r="A19" s="18">
        <f>Titanic_raw!A19</f>
        <v>909</v>
      </c>
      <c r="B19" s="21">
        <f>Titanic_raw!B19</f>
        <v>0</v>
      </c>
      <c r="C19" s="21" t="str">
        <f t="shared" si="0"/>
        <v>Dead</v>
      </c>
      <c r="D19" s="21" t="str">
        <f>CONCATENATE(Titanic_raw!C19, " Class")</f>
        <v>3 Class</v>
      </c>
      <c r="E19" s="23" t="str">
        <f>INDEX(tbl_passenger[Full Name],MATCH(A19,tbl_passenger[PassengerId],0))</f>
        <v>Mr. Gerios Assaf</v>
      </c>
      <c r="F19" t="str">
        <f>INDEX(tbl_passenger[Sex],MATCH(A19,tbl_passenger[PassengerId],0))</f>
        <v>Male</v>
      </c>
      <c r="G19" t="str">
        <f>IF(tbl_figures[Age]&lt;20, "Teens (0-19)", IF(tbl_figures[Age] &lt;40, "Youth (20-39)", IF(tbl_figures[Age]&lt;60, "Adult (40-59)", IF(tbl_figures[Age]&gt;=60, "Elders (60-Above)"))))</f>
        <v>Youth (20-39)</v>
      </c>
      <c r="H19" s="25">
        <f>IF(ISBLANK(Titanic_raw!F19),$C$423,Titanic_raw!F19)</f>
        <v>21</v>
      </c>
      <c r="I19">
        <f>Titanic_raw!G19</f>
        <v>0</v>
      </c>
      <c r="J19">
        <f>Titanic_raw!H19</f>
        <v>0</v>
      </c>
      <c r="K19">
        <f>Titanic_raw!I19</f>
        <v>2692</v>
      </c>
      <c r="L19" s="26">
        <f>IF(ISBLANK(Titanic_raw!J19),$C$427,Titanic_raw!J19)</f>
        <v>7.2249999999999996</v>
      </c>
      <c r="M19">
        <f>Titanic_raw!K19</f>
        <v>0</v>
      </c>
      <c r="N19" t="str">
        <f>IF(Titanic_raw!L19="S","Southampton",IF(Titanic_raw!L19="Q","Queenstown",IF(Titanic_raw!L19="C","Cherbourg")))</f>
        <v>Cherbourg</v>
      </c>
    </row>
    <row r="20" spans="1:21" x14ac:dyDescent="0.2">
      <c r="A20" s="18">
        <f>Titanic_raw!A20</f>
        <v>910</v>
      </c>
      <c r="B20" s="17">
        <f>Titanic_raw!B20</f>
        <v>1</v>
      </c>
      <c r="C20" s="17" t="str">
        <f t="shared" si="0"/>
        <v>Survived</v>
      </c>
      <c r="D20" s="17" t="str">
        <f>CONCATENATE(Titanic_raw!C20, " Class")</f>
        <v>3 Class</v>
      </c>
      <c r="E20" s="19" t="str">
        <f>INDEX(tbl_passenger[Full Name],MATCH(A20,tbl_passenger[PassengerId],0))</f>
        <v>Miss. Ida Livija Ilmakangas</v>
      </c>
      <c r="F20" t="str">
        <f>INDEX(tbl_passenger[Sex],MATCH(A20,tbl_passenger[PassengerId],0))</f>
        <v>Female</v>
      </c>
      <c r="G20" t="str">
        <f>IF(tbl_figures[Age]&lt;20, "Teens (0-19)", IF(tbl_figures[Age] &lt;40, "Youth (20-39)", IF(tbl_figures[Age]&lt;60, "Adult (40-59)", IF(tbl_figures[Age]&gt;=60, "Elders (60-Above)"))))</f>
        <v>Youth (20-39)</v>
      </c>
      <c r="H20" s="25">
        <f>IF(ISBLANK(Titanic_raw!F20),$C$423,Titanic_raw!F20)</f>
        <v>27</v>
      </c>
      <c r="I20">
        <f>Titanic_raw!G20</f>
        <v>1</v>
      </c>
      <c r="J20">
        <f>Titanic_raw!H20</f>
        <v>0</v>
      </c>
      <c r="K20" t="str">
        <f>Titanic_raw!I20</f>
        <v>STON/O2. 3101270</v>
      </c>
      <c r="L20" s="26">
        <f>IF(ISBLANK(Titanic_raw!J20),$C$427,Titanic_raw!J20)</f>
        <v>7.9249999999999998</v>
      </c>
      <c r="M20">
        <f>Titanic_raw!K20</f>
        <v>0</v>
      </c>
      <c r="N20" t="str">
        <f>IF(Titanic_raw!L20="S","Southampton",IF(Titanic_raw!L20="Q","Queenstown",IF(Titanic_raw!L20="C","Cherbourg")))</f>
        <v>Southampton</v>
      </c>
    </row>
    <row r="21" spans="1:21" x14ac:dyDescent="0.2">
      <c r="A21" s="18">
        <f>Titanic_raw!A21</f>
        <v>911</v>
      </c>
      <c r="B21" s="21">
        <f>Titanic_raw!B21</f>
        <v>1</v>
      </c>
      <c r="C21" s="21" t="str">
        <f t="shared" si="0"/>
        <v>Survived</v>
      </c>
      <c r="D21" s="21" t="str">
        <f>CONCATENATE(Titanic_raw!C21, " Class")</f>
        <v>3 Class</v>
      </c>
      <c r="E21" s="23" t="str">
        <f>INDEX(tbl_passenger[Full Name],MATCH(A21,tbl_passenger[PassengerId],0))</f>
        <v>Mrs. Mariana (Miriam")" Assaf Khalil</v>
      </c>
      <c r="F21" t="str">
        <f>INDEX(tbl_passenger[Sex],MATCH(A21,tbl_passenger[PassengerId],0))</f>
        <v>Female</v>
      </c>
      <c r="G21" t="str">
        <f>IF(tbl_figures[Age]&lt;20, "Teens (0-19)", IF(tbl_figures[Age] &lt;40, "Youth (20-39)", IF(tbl_figures[Age]&lt;60, "Adult (40-59)", IF(tbl_figures[Age]&gt;=60, "Elders (60-Above)"))))</f>
        <v>Adult (40-59)</v>
      </c>
      <c r="H21" s="25">
        <f>IF(ISBLANK(Titanic_raw!F21),$C$423,Titanic_raw!F21)</f>
        <v>45</v>
      </c>
      <c r="I21">
        <f>Titanic_raw!G21</f>
        <v>0</v>
      </c>
      <c r="J21">
        <f>Titanic_raw!H21</f>
        <v>0</v>
      </c>
      <c r="K21">
        <f>Titanic_raw!I21</f>
        <v>2696</v>
      </c>
      <c r="L21" s="26">
        <f>IF(ISBLANK(Titanic_raw!J21),$C$427,Titanic_raw!J21)</f>
        <v>7.2249999999999996</v>
      </c>
      <c r="M21">
        <f>Titanic_raw!K21</f>
        <v>0</v>
      </c>
      <c r="N21" t="str">
        <f>IF(Titanic_raw!L21="S","Southampton",IF(Titanic_raw!L21="Q","Queenstown",IF(Titanic_raw!L21="C","Cherbourg")))</f>
        <v>Cherbourg</v>
      </c>
    </row>
    <row r="22" spans="1:21" x14ac:dyDescent="0.2">
      <c r="A22" s="18">
        <f>Titanic_raw!A22</f>
        <v>912</v>
      </c>
      <c r="B22" s="17">
        <f>Titanic_raw!B22</f>
        <v>0</v>
      </c>
      <c r="C22" s="17" t="str">
        <f t="shared" si="0"/>
        <v>Dead</v>
      </c>
      <c r="D22" s="17" t="str">
        <f>CONCATENATE(Titanic_raw!C22, " Class")</f>
        <v>1 Class</v>
      </c>
      <c r="E22" s="19" t="str">
        <f>INDEX(tbl_passenger[Full Name],MATCH(A22,tbl_passenger[PassengerId],0))</f>
        <v>Mr. Martin Rothschild</v>
      </c>
      <c r="F22" t="str">
        <f>INDEX(tbl_passenger[Sex],MATCH(A22,tbl_passenger[PassengerId],0))</f>
        <v>Male</v>
      </c>
      <c r="G22" t="str">
        <f>IF(tbl_figures[Age]&lt;20, "Teens (0-19)", IF(tbl_figures[Age] &lt;40, "Youth (20-39)", IF(tbl_figures[Age]&lt;60, "Adult (40-59)", IF(tbl_figures[Age]&gt;=60, "Elders (60-Above)"))))</f>
        <v>Adult (40-59)</v>
      </c>
      <c r="H22" s="25">
        <f>IF(ISBLANK(Titanic_raw!F22),$C$423,Titanic_raw!F22)</f>
        <v>55</v>
      </c>
      <c r="I22">
        <f>Titanic_raw!G22</f>
        <v>1</v>
      </c>
      <c r="J22">
        <f>Titanic_raw!H22</f>
        <v>0</v>
      </c>
      <c r="K22" t="str">
        <f>Titanic_raw!I22</f>
        <v>PC 17603</v>
      </c>
      <c r="L22" s="26">
        <f>IF(ISBLANK(Titanic_raw!J22),$C$427,Titanic_raw!J22)</f>
        <v>59.4</v>
      </c>
      <c r="M22">
        <f>Titanic_raw!K22</f>
        <v>0</v>
      </c>
      <c r="N22" t="str">
        <f>IF(Titanic_raw!L22="S","Southampton",IF(Titanic_raw!L22="Q","Queenstown",IF(Titanic_raw!L22="C","Cherbourg")))</f>
        <v>Cherbourg</v>
      </c>
    </row>
    <row r="23" spans="1:21" x14ac:dyDescent="0.2">
      <c r="A23" s="18">
        <f>Titanic_raw!A23</f>
        <v>913</v>
      </c>
      <c r="B23" s="21">
        <f>Titanic_raw!B23</f>
        <v>0</v>
      </c>
      <c r="C23" s="21" t="str">
        <f t="shared" si="0"/>
        <v>Dead</v>
      </c>
      <c r="D23" s="21" t="str">
        <f>CONCATENATE(Titanic_raw!C23, " Class")</f>
        <v>3 Class</v>
      </c>
      <c r="E23" s="23" t="str">
        <f>INDEX(tbl_passenger[Full Name],MATCH(A23,tbl_passenger[PassengerId],0))</f>
        <v>Master. Artur Karl Olsen</v>
      </c>
      <c r="F23" t="str">
        <f>INDEX(tbl_passenger[Sex],MATCH(A23,tbl_passenger[PassengerId],0))</f>
        <v>Male</v>
      </c>
      <c r="G23" t="str">
        <f>IF(tbl_figures[Age]&lt;20, "Teens (0-19)", IF(tbl_figures[Age] &lt;40, "Youth (20-39)", IF(tbl_figures[Age]&lt;60, "Adult (40-59)", IF(tbl_figures[Age]&gt;=60, "Elders (60-Above)"))))</f>
        <v>Teens (0-19)</v>
      </c>
      <c r="H23" s="25">
        <f>IF(ISBLANK(Titanic_raw!F23),$C$423,Titanic_raw!F23)</f>
        <v>9</v>
      </c>
      <c r="I23">
        <f>Titanic_raw!G23</f>
        <v>0</v>
      </c>
      <c r="J23">
        <f>Titanic_raw!H23</f>
        <v>1</v>
      </c>
      <c r="K23" t="str">
        <f>Titanic_raw!I23</f>
        <v>C 17368</v>
      </c>
      <c r="L23" s="26">
        <f>IF(ISBLANK(Titanic_raw!J23),$C$427,Titanic_raw!J23)</f>
        <v>3.1707999999999998</v>
      </c>
      <c r="M23">
        <f>Titanic_raw!K23</f>
        <v>0</v>
      </c>
      <c r="N23" t="str">
        <f>IF(Titanic_raw!L23="S","Southampton",IF(Titanic_raw!L23="Q","Queenstown",IF(Titanic_raw!L23="C","Cherbourg")))</f>
        <v>Southampton</v>
      </c>
    </row>
    <row r="24" spans="1:21" x14ac:dyDescent="0.2">
      <c r="A24" s="18">
        <f>Titanic_raw!A24</f>
        <v>914</v>
      </c>
      <c r="B24" s="17">
        <f>Titanic_raw!B24</f>
        <v>1</v>
      </c>
      <c r="C24" s="17" t="str">
        <f t="shared" si="0"/>
        <v>Survived</v>
      </c>
      <c r="D24" s="17" t="str">
        <f>CONCATENATE(Titanic_raw!C24, " Class")</f>
        <v>1 Class</v>
      </c>
      <c r="E24" s="19" t="str">
        <f>INDEX(tbl_passenger[Full Name],MATCH(A24,tbl_passenger[PassengerId],0))</f>
        <v>Mrs. Alfred (Antoinette) Flegenheim</v>
      </c>
      <c r="F24" t="str">
        <f>INDEX(tbl_passenger[Sex],MATCH(A24,tbl_passenger[PassengerId],0))</f>
        <v>Female</v>
      </c>
      <c r="G24" t="str">
        <f>IF(tbl_figures[Age]&lt;20, "Teens (0-19)", IF(tbl_figures[Age] &lt;40, "Youth (20-39)", IF(tbl_figures[Age]&lt;60, "Adult (40-59)", IF(tbl_figures[Age]&gt;=60, "Elders (60-Above)"))))</f>
        <v>Youth (20-39)</v>
      </c>
      <c r="H24" s="25">
        <f>IF(ISBLANK(Titanic_raw!F24),$C$423,Titanic_raw!F24)</f>
        <v>30.272590325616491</v>
      </c>
      <c r="I24">
        <f>Titanic_raw!G24</f>
        <v>0</v>
      </c>
      <c r="J24">
        <f>Titanic_raw!H24</f>
        <v>0</v>
      </c>
      <c r="K24" t="str">
        <f>Titanic_raw!I24</f>
        <v>PC 17598</v>
      </c>
      <c r="L24" s="26">
        <f>IF(ISBLANK(Titanic_raw!J24),$C$427,Titanic_raw!J24)</f>
        <v>31.683299999999999</v>
      </c>
      <c r="M24">
        <f>Titanic_raw!K24</f>
        <v>0</v>
      </c>
      <c r="N24" t="str">
        <f>IF(Titanic_raw!L24="S","Southampton",IF(Titanic_raw!L24="Q","Queenstown",IF(Titanic_raw!L24="C","Cherbourg")))</f>
        <v>Southampton</v>
      </c>
    </row>
    <row r="25" spans="1:21" x14ac:dyDescent="0.2">
      <c r="A25" s="18">
        <f>Titanic_raw!A25</f>
        <v>915</v>
      </c>
      <c r="B25" s="21">
        <f>Titanic_raw!B25</f>
        <v>0</v>
      </c>
      <c r="C25" s="21" t="str">
        <f t="shared" si="0"/>
        <v>Dead</v>
      </c>
      <c r="D25" s="21" t="str">
        <f>CONCATENATE(Titanic_raw!C25, " Class")</f>
        <v>1 Class</v>
      </c>
      <c r="E25" s="23" t="str">
        <f>INDEX(tbl_passenger[Full Name],MATCH(A25,tbl_passenger[PassengerId],0))</f>
        <v>Mr. Richard Norris II Williams</v>
      </c>
      <c r="F25" t="str">
        <f>INDEX(tbl_passenger[Sex],MATCH(A25,tbl_passenger[PassengerId],0))</f>
        <v>Male</v>
      </c>
      <c r="G25" t="str">
        <f>IF(tbl_figures[Age]&lt;20, "Teens (0-19)", IF(tbl_figures[Age] &lt;40, "Youth (20-39)", IF(tbl_figures[Age]&lt;60, "Adult (40-59)", IF(tbl_figures[Age]&gt;=60, "Elders (60-Above)"))))</f>
        <v>Youth (20-39)</v>
      </c>
      <c r="H25" s="25">
        <f>IF(ISBLANK(Titanic_raw!F25),$C$423,Titanic_raw!F25)</f>
        <v>21</v>
      </c>
      <c r="I25">
        <f>Titanic_raw!G25</f>
        <v>0</v>
      </c>
      <c r="J25">
        <f>Titanic_raw!H25</f>
        <v>1</v>
      </c>
      <c r="K25" t="str">
        <f>Titanic_raw!I25</f>
        <v>PC 17597</v>
      </c>
      <c r="L25" s="26">
        <f>IF(ISBLANK(Titanic_raw!J25),$C$427,Titanic_raw!J25)</f>
        <v>61.379199999999997</v>
      </c>
      <c r="M25">
        <f>Titanic_raw!K25</f>
        <v>0</v>
      </c>
      <c r="N25" t="str">
        <f>IF(Titanic_raw!L25="S","Southampton",IF(Titanic_raw!L25="Q","Queenstown",IF(Titanic_raw!L25="C","Cherbourg")))</f>
        <v>Cherbourg</v>
      </c>
    </row>
    <row r="26" spans="1:21" x14ac:dyDescent="0.2">
      <c r="A26" s="18">
        <f>Titanic_raw!A26</f>
        <v>916</v>
      </c>
      <c r="B26" s="17">
        <f>Titanic_raw!B26</f>
        <v>1</v>
      </c>
      <c r="C26" s="17" t="str">
        <f t="shared" si="0"/>
        <v>Survived</v>
      </c>
      <c r="D26" s="17" t="str">
        <f>CONCATENATE(Titanic_raw!C26, " Class")</f>
        <v>1 Class</v>
      </c>
      <c r="E26" s="19" t="str">
        <f>INDEX(tbl_passenger[Full Name],MATCH(A26,tbl_passenger[PassengerId],0))</f>
        <v>Mrs. Arthur Larned (Emily Maria Borie) Ryerson</v>
      </c>
      <c r="F26" t="str">
        <f>INDEX(tbl_passenger[Sex],MATCH(A26,tbl_passenger[PassengerId],0))</f>
        <v>Female</v>
      </c>
      <c r="G26" t="str">
        <f>IF(tbl_figures[Age]&lt;20, "Teens (0-19)", IF(tbl_figures[Age] &lt;40, "Youth (20-39)", IF(tbl_figures[Age]&lt;60, "Adult (40-59)", IF(tbl_figures[Age]&gt;=60, "Elders (60-Above)"))))</f>
        <v>Adult (40-59)</v>
      </c>
      <c r="H26" s="25">
        <f>IF(ISBLANK(Titanic_raw!F26),$C$423,Titanic_raw!F26)</f>
        <v>48</v>
      </c>
      <c r="I26">
        <f>Titanic_raw!G26</f>
        <v>1</v>
      </c>
      <c r="J26">
        <f>Titanic_raw!H26</f>
        <v>3</v>
      </c>
      <c r="K26" t="str">
        <f>Titanic_raw!I26</f>
        <v>PC 17608</v>
      </c>
      <c r="L26" s="26">
        <f>IF(ISBLANK(Titanic_raw!J26),$C$427,Titanic_raw!J26)</f>
        <v>262.375</v>
      </c>
      <c r="M26" t="str">
        <f>Titanic_raw!K26</f>
        <v>B57 B59 B63 B66</v>
      </c>
      <c r="N26" t="str">
        <f>IF(Titanic_raw!L26="S","Southampton",IF(Titanic_raw!L26="Q","Queenstown",IF(Titanic_raw!L26="C","Cherbourg")))</f>
        <v>Cherbourg</v>
      </c>
    </row>
    <row r="27" spans="1:21" x14ac:dyDescent="0.2">
      <c r="A27" s="18">
        <f>Titanic_raw!A27</f>
        <v>917</v>
      </c>
      <c r="B27" s="21">
        <f>Titanic_raw!B27</f>
        <v>0</v>
      </c>
      <c r="C27" s="21" t="str">
        <f t="shared" si="0"/>
        <v>Dead</v>
      </c>
      <c r="D27" s="21" t="str">
        <f>CONCATENATE(Titanic_raw!C27, " Class")</f>
        <v>3 Class</v>
      </c>
      <c r="E27" s="23" t="str">
        <f>INDEX(tbl_passenger[Full Name],MATCH(A27,tbl_passenger[PassengerId],0))</f>
        <v>Mr. Alexander A Robins</v>
      </c>
      <c r="F27" t="str">
        <f>INDEX(tbl_passenger[Sex],MATCH(A27,tbl_passenger[PassengerId],0))</f>
        <v>Male</v>
      </c>
      <c r="G27" t="str">
        <f>IF(tbl_figures[Age]&lt;20, "Teens (0-19)", IF(tbl_figures[Age] &lt;40, "Youth (20-39)", IF(tbl_figures[Age]&lt;60, "Adult (40-59)", IF(tbl_figures[Age]&gt;=60, "Elders (60-Above)"))))</f>
        <v>Adult (40-59)</v>
      </c>
      <c r="H27" s="25">
        <f>IF(ISBLANK(Titanic_raw!F27),$C$423,Titanic_raw!F27)</f>
        <v>50</v>
      </c>
      <c r="I27">
        <f>Titanic_raw!G27</f>
        <v>1</v>
      </c>
      <c r="J27">
        <f>Titanic_raw!H27</f>
        <v>0</v>
      </c>
      <c r="K27" t="str">
        <f>Titanic_raw!I27</f>
        <v>A/5. 3337</v>
      </c>
      <c r="L27" s="26">
        <f>IF(ISBLANK(Titanic_raw!J27),$C$427,Titanic_raw!J27)</f>
        <v>14.5</v>
      </c>
      <c r="M27">
        <f>Titanic_raw!K27</f>
        <v>0</v>
      </c>
      <c r="N27" t="str">
        <f>IF(Titanic_raw!L27="S","Southampton",IF(Titanic_raw!L27="Q","Queenstown",IF(Titanic_raw!L27="C","Cherbourg")))</f>
        <v>Southampton</v>
      </c>
      <c r="U27" t="s">
        <v>658</v>
      </c>
    </row>
    <row r="28" spans="1:21" x14ac:dyDescent="0.2">
      <c r="A28" s="18">
        <f>Titanic_raw!A28</f>
        <v>918</v>
      </c>
      <c r="B28" s="17">
        <f>Titanic_raw!B28</f>
        <v>1</v>
      </c>
      <c r="C28" s="17" t="str">
        <f t="shared" si="0"/>
        <v>Survived</v>
      </c>
      <c r="D28" s="17" t="str">
        <f>CONCATENATE(Titanic_raw!C28, " Class")</f>
        <v>1 Class</v>
      </c>
      <c r="E28" s="19" t="str">
        <f>INDEX(tbl_passenger[Full Name],MATCH(A28,tbl_passenger[PassengerId],0))</f>
        <v>Miss. Helene Ragnhild Ostby</v>
      </c>
      <c r="F28" t="str">
        <f>INDEX(tbl_passenger[Sex],MATCH(A28,tbl_passenger[PassengerId],0))</f>
        <v>Female</v>
      </c>
      <c r="G28" t="str">
        <f>IF(tbl_figures[Age]&lt;20, "Teens (0-19)", IF(tbl_figures[Age] &lt;40, "Youth (20-39)", IF(tbl_figures[Age]&lt;60, "Adult (40-59)", IF(tbl_figures[Age]&gt;=60, "Elders (60-Above)"))))</f>
        <v>Youth (20-39)</v>
      </c>
      <c r="H28" s="25">
        <f>IF(ISBLANK(Titanic_raw!F28),$C$423,Titanic_raw!F28)</f>
        <v>22</v>
      </c>
      <c r="I28">
        <f>Titanic_raw!G28</f>
        <v>0</v>
      </c>
      <c r="J28">
        <f>Titanic_raw!H28</f>
        <v>1</v>
      </c>
      <c r="K28">
        <f>Titanic_raw!I28</f>
        <v>113509</v>
      </c>
      <c r="L28" s="26">
        <f>IF(ISBLANK(Titanic_raw!J28),$C$427,Titanic_raw!J28)</f>
        <v>61.979199999999999</v>
      </c>
      <c r="M28" t="str">
        <f>Titanic_raw!K28</f>
        <v>B36</v>
      </c>
      <c r="N28" t="str">
        <f>IF(Titanic_raw!L28="S","Southampton",IF(Titanic_raw!L28="Q","Queenstown",IF(Titanic_raw!L28="C","Cherbourg")))</f>
        <v>Cherbourg</v>
      </c>
      <c r="U28" t="s">
        <v>655</v>
      </c>
    </row>
    <row r="29" spans="1:21" x14ac:dyDescent="0.2">
      <c r="A29" s="18">
        <f>Titanic_raw!A29</f>
        <v>919</v>
      </c>
      <c r="B29" s="21">
        <f>Titanic_raw!B29</f>
        <v>0</v>
      </c>
      <c r="C29" s="21" t="str">
        <f t="shared" si="0"/>
        <v>Dead</v>
      </c>
      <c r="D29" s="21" t="str">
        <f>CONCATENATE(Titanic_raw!C29, " Class")</f>
        <v>3 Class</v>
      </c>
      <c r="E29" s="23" t="str">
        <f>INDEX(tbl_passenger[Full Name],MATCH(A29,tbl_passenger[PassengerId],0))</f>
        <v>Mr. Shedid Daher</v>
      </c>
      <c r="F29" t="str">
        <f>INDEX(tbl_passenger[Sex],MATCH(A29,tbl_passenger[PassengerId],0))</f>
        <v>Male</v>
      </c>
      <c r="G29" t="str">
        <f>IF(tbl_figures[Age]&lt;20, "Teens (0-19)", IF(tbl_figures[Age] &lt;40, "Youth (20-39)", IF(tbl_figures[Age]&lt;60, "Adult (40-59)", IF(tbl_figures[Age]&gt;=60, "Elders (60-Above)"))))</f>
        <v>Youth (20-39)</v>
      </c>
      <c r="H29" s="25">
        <f>IF(ISBLANK(Titanic_raw!F29),$C$423,Titanic_raw!F29)</f>
        <v>22.5</v>
      </c>
      <c r="I29">
        <f>Titanic_raw!G29</f>
        <v>0</v>
      </c>
      <c r="J29">
        <f>Titanic_raw!H29</f>
        <v>0</v>
      </c>
      <c r="K29">
        <f>Titanic_raw!I29</f>
        <v>2698</v>
      </c>
      <c r="L29" s="26">
        <f>IF(ISBLANK(Titanic_raw!J29),$C$427,Titanic_raw!J29)</f>
        <v>7.2249999999999996</v>
      </c>
      <c r="M29">
        <f>Titanic_raw!K29</f>
        <v>0</v>
      </c>
      <c r="N29" t="str">
        <f>IF(Titanic_raw!L29="S","Southampton",IF(Titanic_raw!L29="Q","Queenstown",IF(Titanic_raw!L29="C","Cherbourg")))</f>
        <v>Cherbourg</v>
      </c>
    </row>
    <row r="30" spans="1:21" x14ac:dyDescent="0.2">
      <c r="A30" s="18">
        <f>Titanic_raw!A30</f>
        <v>920</v>
      </c>
      <c r="B30" s="17">
        <f>Titanic_raw!B30</f>
        <v>0</v>
      </c>
      <c r="C30" s="17" t="str">
        <f t="shared" si="0"/>
        <v>Dead</v>
      </c>
      <c r="D30" s="17" t="str">
        <f>CONCATENATE(Titanic_raw!C30, " Class")</f>
        <v>1 Class</v>
      </c>
      <c r="E30" s="19" t="str">
        <f>INDEX(tbl_passenger[Full Name],MATCH(A30,tbl_passenger[PassengerId],0))</f>
        <v>Mr. John Bertram Brady</v>
      </c>
      <c r="F30" t="str">
        <f>INDEX(tbl_passenger[Sex],MATCH(A30,tbl_passenger[PassengerId],0))</f>
        <v>Male</v>
      </c>
      <c r="G30" t="str">
        <f>IF(tbl_figures[Age]&lt;20, "Teens (0-19)", IF(tbl_figures[Age] &lt;40, "Youth (20-39)", IF(tbl_figures[Age]&lt;60, "Adult (40-59)", IF(tbl_figures[Age]&gt;=60, "Elders (60-Above)"))))</f>
        <v>Adult (40-59)</v>
      </c>
      <c r="H30" s="25">
        <f>IF(ISBLANK(Titanic_raw!F30),$C$423,Titanic_raw!F30)</f>
        <v>41</v>
      </c>
      <c r="I30">
        <f>Titanic_raw!G30</f>
        <v>0</v>
      </c>
      <c r="J30">
        <f>Titanic_raw!H30</f>
        <v>0</v>
      </c>
      <c r="K30">
        <f>Titanic_raw!I30</f>
        <v>113054</v>
      </c>
      <c r="L30" s="26">
        <f>IF(ISBLANK(Titanic_raw!J30),$C$427,Titanic_raw!J30)</f>
        <v>30.5</v>
      </c>
      <c r="M30" t="str">
        <f>Titanic_raw!K30</f>
        <v>A21</v>
      </c>
      <c r="N30" t="str">
        <f>IF(Titanic_raw!L30="S","Southampton",IF(Titanic_raw!L30="Q","Queenstown",IF(Titanic_raw!L30="C","Cherbourg")))</f>
        <v>Southampton</v>
      </c>
    </row>
    <row r="31" spans="1:21" x14ac:dyDescent="0.2">
      <c r="A31" s="18">
        <f>Titanic_raw!A31</f>
        <v>921</v>
      </c>
      <c r="B31" s="21">
        <f>Titanic_raw!B31</f>
        <v>0</v>
      </c>
      <c r="C31" s="21" t="str">
        <f t="shared" si="0"/>
        <v>Dead</v>
      </c>
      <c r="D31" s="21" t="str">
        <f>CONCATENATE(Titanic_raw!C31, " Class")</f>
        <v>3 Class</v>
      </c>
      <c r="E31" s="23" t="str">
        <f>INDEX(tbl_passenger[Full Name],MATCH(A31,tbl_passenger[PassengerId],0))</f>
        <v>Mr. Elias Samaan</v>
      </c>
      <c r="F31" t="str">
        <f>INDEX(tbl_passenger[Sex],MATCH(A31,tbl_passenger[PassengerId],0))</f>
        <v>Male</v>
      </c>
      <c r="G31" t="str">
        <f>IF(tbl_figures[Age]&lt;20, "Teens (0-19)", IF(tbl_figures[Age] &lt;40, "Youth (20-39)", IF(tbl_figures[Age]&lt;60, "Adult (40-59)", IF(tbl_figures[Age]&gt;=60, "Elders (60-Above)"))))</f>
        <v>Youth (20-39)</v>
      </c>
      <c r="H31" s="25">
        <f>IF(ISBLANK(Titanic_raw!F31),$C$423,Titanic_raw!F31)</f>
        <v>30.272590325616491</v>
      </c>
      <c r="I31">
        <f>Titanic_raw!G31</f>
        <v>2</v>
      </c>
      <c r="J31">
        <f>Titanic_raw!H31</f>
        <v>0</v>
      </c>
      <c r="K31">
        <f>Titanic_raw!I31</f>
        <v>2662</v>
      </c>
      <c r="L31" s="26">
        <f>IF(ISBLANK(Titanic_raw!J31),$C$427,Titanic_raw!J31)</f>
        <v>21.679200000000002</v>
      </c>
      <c r="M31">
        <f>Titanic_raw!K31</f>
        <v>0</v>
      </c>
      <c r="N31" t="str">
        <f>IF(Titanic_raw!L31="S","Southampton",IF(Titanic_raw!L31="Q","Queenstown",IF(Titanic_raw!L31="C","Cherbourg")))</f>
        <v>Cherbourg</v>
      </c>
    </row>
    <row r="32" spans="1:21" x14ac:dyDescent="0.2">
      <c r="A32" s="18">
        <f>Titanic_raw!A32</f>
        <v>922</v>
      </c>
      <c r="B32" s="17">
        <f>Titanic_raw!B32</f>
        <v>0</v>
      </c>
      <c r="C32" s="17" t="str">
        <f t="shared" si="0"/>
        <v>Dead</v>
      </c>
      <c r="D32" s="17" t="str">
        <f>CONCATENATE(Titanic_raw!C32, " Class")</f>
        <v>2 Class</v>
      </c>
      <c r="E32" s="19" t="str">
        <f>INDEX(tbl_passenger[Full Name],MATCH(A32,tbl_passenger[PassengerId],0))</f>
        <v>Mr. Charles Alexander Louch</v>
      </c>
      <c r="F32" t="str">
        <f>INDEX(tbl_passenger[Sex],MATCH(A32,tbl_passenger[PassengerId],0))</f>
        <v>Male</v>
      </c>
      <c r="G32" t="str">
        <f>IF(tbl_figures[Age]&lt;20, "Teens (0-19)", IF(tbl_figures[Age] &lt;40, "Youth (20-39)", IF(tbl_figures[Age]&lt;60, "Adult (40-59)", IF(tbl_figures[Age]&gt;=60, "Elders (60-Above)"))))</f>
        <v>Adult (40-59)</v>
      </c>
      <c r="H32" s="25">
        <f>IF(ISBLANK(Titanic_raw!F32),$C$423,Titanic_raw!F32)</f>
        <v>50</v>
      </c>
      <c r="I32">
        <f>Titanic_raw!G32</f>
        <v>1</v>
      </c>
      <c r="J32">
        <f>Titanic_raw!H32</f>
        <v>0</v>
      </c>
      <c r="K32" t="str">
        <f>Titanic_raw!I32</f>
        <v>SC/AH 3085</v>
      </c>
      <c r="L32" s="26">
        <f>IF(ISBLANK(Titanic_raw!J32),$C$427,Titanic_raw!J32)</f>
        <v>26</v>
      </c>
      <c r="M32">
        <f>Titanic_raw!K32</f>
        <v>0</v>
      </c>
      <c r="N32" t="str">
        <f>IF(Titanic_raw!L32="S","Southampton",IF(Titanic_raw!L32="Q","Queenstown",IF(Titanic_raw!L32="C","Cherbourg")))</f>
        <v>Southampton</v>
      </c>
    </row>
    <row r="33" spans="1:23" x14ac:dyDescent="0.2">
      <c r="A33" s="18">
        <f>Titanic_raw!A33</f>
        <v>923</v>
      </c>
      <c r="B33" s="21">
        <f>Titanic_raw!B33</f>
        <v>0</v>
      </c>
      <c r="C33" s="21" t="str">
        <f t="shared" si="0"/>
        <v>Dead</v>
      </c>
      <c r="D33" s="21" t="str">
        <f>CONCATENATE(Titanic_raw!C33, " Class")</f>
        <v>2 Class</v>
      </c>
      <c r="E33" s="23" t="str">
        <f>INDEX(tbl_passenger[Full Name],MATCH(A33,tbl_passenger[PassengerId],0))</f>
        <v>Mr. Clifford Thomas Jefferys</v>
      </c>
      <c r="F33" t="str">
        <f>INDEX(tbl_passenger[Sex],MATCH(A33,tbl_passenger[PassengerId],0))</f>
        <v>Male</v>
      </c>
      <c r="G33" t="str">
        <f>IF(tbl_figures[Age]&lt;20, "Teens (0-19)", IF(tbl_figures[Age] &lt;40, "Youth (20-39)", IF(tbl_figures[Age]&lt;60, "Adult (40-59)", IF(tbl_figures[Age]&gt;=60, "Elders (60-Above)"))))</f>
        <v>Youth (20-39)</v>
      </c>
      <c r="H33" s="25">
        <f>IF(ISBLANK(Titanic_raw!F33),$C$423,Titanic_raw!F33)</f>
        <v>24</v>
      </c>
      <c r="I33">
        <f>Titanic_raw!G33</f>
        <v>2</v>
      </c>
      <c r="J33">
        <f>Titanic_raw!H33</f>
        <v>0</v>
      </c>
      <c r="K33" t="str">
        <f>Titanic_raw!I33</f>
        <v>C.A. 31029</v>
      </c>
      <c r="L33" s="26">
        <f>IF(ISBLANK(Titanic_raw!J33),$C$427,Titanic_raw!J33)</f>
        <v>31.5</v>
      </c>
      <c r="M33">
        <f>Titanic_raw!K33</f>
        <v>0</v>
      </c>
      <c r="N33" t="str">
        <f>IF(Titanic_raw!L33="S","Southampton",IF(Titanic_raw!L33="Q","Queenstown",IF(Titanic_raw!L33="C","Cherbourg")))</f>
        <v>Southampton</v>
      </c>
      <c r="T33" t="s">
        <v>623</v>
      </c>
      <c r="U33" s="5" t="s">
        <v>630</v>
      </c>
      <c r="V33" t="s">
        <v>633</v>
      </c>
      <c r="W33" t="s">
        <v>654</v>
      </c>
    </row>
    <row r="34" spans="1:23" x14ac:dyDescent="0.2">
      <c r="A34" s="18">
        <f>Titanic_raw!A34</f>
        <v>924</v>
      </c>
      <c r="B34" s="17">
        <f>Titanic_raw!B34</f>
        <v>1</v>
      </c>
      <c r="C34" s="17" t="str">
        <f t="shared" si="0"/>
        <v>Survived</v>
      </c>
      <c r="D34" s="17" t="str">
        <f>CONCATENATE(Titanic_raw!C34, " Class")</f>
        <v>3 Class</v>
      </c>
      <c r="E34" s="19" t="str">
        <f>INDEX(tbl_passenger[Full Name],MATCH(A34,tbl_passenger[PassengerId],0))</f>
        <v>Mrs. Bertram (Eva Georgetta Light) Dean</v>
      </c>
      <c r="F34" t="str">
        <f>INDEX(tbl_passenger[Sex],MATCH(A34,tbl_passenger[PassengerId],0))</f>
        <v>Female</v>
      </c>
      <c r="G34" t="str">
        <f>IF(tbl_figures[Age]&lt;20, "Teens (0-19)", IF(tbl_figures[Age] &lt;40, "Youth (20-39)", IF(tbl_figures[Age]&lt;60, "Adult (40-59)", IF(tbl_figures[Age]&gt;=60, "Elders (60-Above)"))))</f>
        <v>Youth (20-39)</v>
      </c>
      <c r="H34" s="25">
        <f>IF(ISBLANK(Titanic_raw!F34),$C$423,Titanic_raw!F34)</f>
        <v>33</v>
      </c>
      <c r="I34">
        <f>Titanic_raw!G34</f>
        <v>1</v>
      </c>
      <c r="J34">
        <f>Titanic_raw!H34</f>
        <v>2</v>
      </c>
      <c r="K34" t="str">
        <f>Titanic_raw!I34</f>
        <v>C.A. 2315</v>
      </c>
      <c r="L34" s="26">
        <f>IF(ISBLANK(Titanic_raw!J34),$C$427,Titanic_raw!J34)</f>
        <v>20.574999999999999</v>
      </c>
      <c r="M34">
        <f>Titanic_raw!K34</f>
        <v>0</v>
      </c>
      <c r="N34" t="str">
        <f>IF(Titanic_raw!L34="S","Southampton",IF(Titanic_raw!L34="Q","Queenstown",IF(Titanic_raw!L34="C","Cherbourg")))</f>
        <v>Southampton</v>
      </c>
      <c r="U34" s="6" t="s">
        <v>635</v>
      </c>
      <c r="V34" s="4">
        <v>266</v>
      </c>
      <c r="W34" s="32">
        <v>0.63758969933196963</v>
      </c>
    </row>
    <row r="35" spans="1:23" x14ac:dyDescent="0.2">
      <c r="A35" s="18">
        <f>Titanic_raw!A35</f>
        <v>925</v>
      </c>
      <c r="B35" s="21">
        <f>Titanic_raw!B35</f>
        <v>1</v>
      </c>
      <c r="C35" s="21" t="str">
        <f t="shared" si="0"/>
        <v>Survived</v>
      </c>
      <c r="D35" s="21" t="str">
        <f>CONCATENATE(Titanic_raw!C35, " Class")</f>
        <v>3 Class</v>
      </c>
      <c r="E35" s="23" t="str">
        <f>INDEX(tbl_passenger[Full Name],MATCH(A35,tbl_passenger[PassengerId],0))</f>
        <v>Mrs. Andrew G (Elizabeth Lily" Watson)" Johnston</v>
      </c>
      <c r="F35" t="str">
        <f>INDEX(tbl_passenger[Sex],MATCH(A35,tbl_passenger[PassengerId],0))</f>
        <v>Female</v>
      </c>
      <c r="G35" t="str">
        <f>IF(tbl_figures[Age]&lt;20, "Teens (0-19)", IF(tbl_figures[Age] &lt;40, "Youth (20-39)", IF(tbl_figures[Age]&lt;60, "Adult (40-59)", IF(tbl_figures[Age]&gt;=60, "Elders (60-Above)"))))</f>
        <v>Youth (20-39)</v>
      </c>
      <c r="H35" s="25">
        <f>IF(ISBLANK(Titanic_raw!F35),$C$423,Titanic_raw!F35)</f>
        <v>30.272590325616491</v>
      </c>
      <c r="I35">
        <f>Titanic_raw!G35</f>
        <v>1</v>
      </c>
      <c r="J35">
        <f>Titanic_raw!H35</f>
        <v>2</v>
      </c>
      <c r="K35" t="str">
        <f>Titanic_raw!I35</f>
        <v>W./C. 6607</v>
      </c>
      <c r="L35" s="26">
        <f>IF(ISBLANK(Titanic_raw!J35),$C$427,Titanic_raw!J35)</f>
        <v>23.45</v>
      </c>
      <c r="M35">
        <f>Titanic_raw!K35</f>
        <v>0</v>
      </c>
      <c r="N35" t="str">
        <f>IF(Titanic_raw!L35="S","Southampton",IF(Titanic_raw!L35="Q","Queenstown",IF(Titanic_raw!L35="C","Cherbourg")))</f>
        <v>Southampton</v>
      </c>
      <c r="U35" s="6" t="s">
        <v>634</v>
      </c>
      <c r="V35" s="4">
        <v>152</v>
      </c>
      <c r="W35" s="32">
        <v>0.36241030066803043</v>
      </c>
    </row>
    <row r="36" spans="1:23" x14ac:dyDescent="0.2">
      <c r="A36" s="18">
        <f>Titanic_raw!A36</f>
        <v>926</v>
      </c>
      <c r="B36" s="17">
        <f>Titanic_raw!B36</f>
        <v>0</v>
      </c>
      <c r="C36" s="17" t="str">
        <f t="shared" si="0"/>
        <v>Dead</v>
      </c>
      <c r="D36" s="17" t="str">
        <f>CONCATENATE(Titanic_raw!C36, " Class")</f>
        <v>1 Class</v>
      </c>
      <c r="E36" s="19" t="str">
        <f>INDEX(tbl_passenger[Full Name],MATCH(A36,tbl_passenger[PassengerId],0))</f>
        <v>Mr. Philipp Edmund Mock</v>
      </c>
      <c r="F36" t="str">
        <f>INDEX(tbl_passenger[Sex],MATCH(A36,tbl_passenger[PassengerId],0))</f>
        <v>Male</v>
      </c>
      <c r="G36" t="str">
        <f>IF(tbl_figures[Age]&lt;20, "Teens (0-19)", IF(tbl_figures[Age] &lt;40, "Youth (20-39)", IF(tbl_figures[Age]&lt;60, "Adult (40-59)", IF(tbl_figures[Age]&gt;=60, "Elders (60-Above)"))))</f>
        <v>Youth (20-39)</v>
      </c>
      <c r="H36" s="25">
        <f>IF(ISBLANK(Titanic_raw!F36),$C$423,Titanic_raw!F36)</f>
        <v>30</v>
      </c>
      <c r="I36">
        <f>Titanic_raw!G36</f>
        <v>1</v>
      </c>
      <c r="J36">
        <f>Titanic_raw!H36</f>
        <v>0</v>
      </c>
      <c r="K36">
        <f>Titanic_raw!I36</f>
        <v>13236</v>
      </c>
      <c r="L36" s="26">
        <f>IF(ISBLANK(Titanic_raw!J36),$C$427,Titanic_raw!J36)</f>
        <v>57.75</v>
      </c>
      <c r="M36" t="str">
        <f>Titanic_raw!K36</f>
        <v>C78</v>
      </c>
      <c r="N36" t="str">
        <f>IF(Titanic_raw!L36="S","Southampton",IF(Titanic_raw!L36="Q","Queenstown",IF(Titanic_raw!L36="C","Cherbourg")))</f>
        <v>Cherbourg</v>
      </c>
      <c r="U36" s="6" t="s">
        <v>631</v>
      </c>
      <c r="V36" s="4">
        <v>418</v>
      </c>
      <c r="W36" s="31">
        <v>1</v>
      </c>
    </row>
    <row r="37" spans="1:23" x14ac:dyDescent="0.2">
      <c r="A37" s="18">
        <f>Titanic_raw!A37</f>
        <v>927</v>
      </c>
      <c r="B37" s="21">
        <f>Titanic_raw!B37</f>
        <v>0</v>
      </c>
      <c r="C37" s="21" t="str">
        <f t="shared" si="0"/>
        <v>Dead</v>
      </c>
      <c r="D37" s="21" t="str">
        <f>CONCATENATE(Titanic_raw!C37, " Class")</f>
        <v>3 Class</v>
      </c>
      <c r="E37" s="23" t="str">
        <f>INDEX(tbl_passenger[Full Name],MATCH(A37,tbl_passenger[PassengerId],0))</f>
        <v>Mr. Vassilios (Catavelas Vassilios")" Katavelas</v>
      </c>
      <c r="F37" t="str">
        <f>INDEX(tbl_passenger[Sex],MATCH(A37,tbl_passenger[PassengerId],0))</f>
        <v>Male</v>
      </c>
      <c r="G37" t="str">
        <f>IF(tbl_figures[Age]&lt;20, "Teens (0-19)", IF(tbl_figures[Age] &lt;40, "Youth (20-39)", IF(tbl_figures[Age]&lt;60, "Adult (40-59)", IF(tbl_figures[Age]&gt;=60, "Elders (60-Above)"))))</f>
        <v>Teens (0-19)</v>
      </c>
      <c r="H37" s="25">
        <f>IF(ISBLANK(Titanic_raw!F37),$C$423,Titanic_raw!F37)</f>
        <v>18.5</v>
      </c>
      <c r="I37">
        <f>Titanic_raw!G37</f>
        <v>0</v>
      </c>
      <c r="J37">
        <f>Titanic_raw!H37</f>
        <v>0</v>
      </c>
      <c r="K37">
        <f>Titanic_raw!I37</f>
        <v>2682</v>
      </c>
      <c r="L37" s="26">
        <f>IF(ISBLANK(Titanic_raw!J37),$C$427,Titanic_raw!J37)</f>
        <v>7.2291999999999996</v>
      </c>
      <c r="M37">
        <f>Titanic_raw!K37</f>
        <v>0</v>
      </c>
      <c r="N37" t="str">
        <f>IF(Titanic_raw!L37="S","Southampton",IF(Titanic_raw!L37="Q","Queenstown",IF(Titanic_raw!L37="C","Cherbourg")))</f>
        <v>Cherbourg</v>
      </c>
    </row>
    <row r="38" spans="1:23" x14ac:dyDescent="0.2">
      <c r="A38" s="18">
        <f>Titanic_raw!A38</f>
        <v>928</v>
      </c>
      <c r="B38" s="17">
        <f>Titanic_raw!B38</f>
        <v>1</v>
      </c>
      <c r="C38" s="17" t="str">
        <f t="shared" si="0"/>
        <v>Survived</v>
      </c>
      <c r="D38" s="17" t="str">
        <f>CONCATENATE(Titanic_raw!C38, " Class")</f>
        <v>3 Class</v>
      </c>
      <c r="E38" s="19" t="str">
        <f>INDEX(tbl_passenger[Full Name],MATCH(A38,tbl_passenger[PassengerId],0))</f>
        <v>Miss. Sarah A Roth</v>
      </c>
      <c r="F38" t="str">
        <f>INDEX(tbl_passenger[Sex],MATCH(A38,tbl_passenger[PassengerId],0))</f>
        <v>Female</v>
      </c>
      <c r="G38" t="str">
        <f>IF(tbl_figures[Age]&lt;20, "Teens (0-19)", IF(tbl_figures[Age] &lt;40, "Youth (20-39)", IF(tbl_figures[Age]&lt;60, "Adult (40-59)", IF(tbl_figures[Age]&gt;=60, "Elders (60-Above)"))))</f>
        <v>Youth (20-39)</v>
      </c>
      <c r="H38" s="25">
        <f>IF(ISBLANK(Titanic_raw!F38),$C$423,Titanic_raw!F38)</f>
        <v>30.272590325616491</v>
      </c>
      <c r="I38">
        <f>Titanic_raw!G38</f>
        <v>0</v>
      </c>
      <c r="J38">
        <f>Titanic_raw!H38</f>
        <v>0</v>
      </c>
      <c r="K38">
        <f>Titanic_raw!I38</f>
        <v>342712</v>
      </c>
      <c r="L38" s="26">
        <f>IF(ISBLANK(Titanic_raw!J38),$C$427,Titanic_raw!J38)</f>
        <v>8.0500000000000007</v>
      </c>
      <c r="M38">
        <f>Titanic_raw!K38</f>
        <v>0</v>
      </c>
      <c r="N38" t="str">
        <f>IF(Titanic_raw!L38="S","Southampton",IF(Titanic_raw!L38="Q","Queenstown",IF(Titanic_raw!L38="C","Cherbourg")))</f>
        <v>Southampton</v>
      </c>
    </row>
    <row r="39" spans="1:23" x14ac:dyDescent="0.2">
      <c r="A39" s="18">
        <f>Titanic_raw!A39</f>
        <v>929</v>
      </c>
      <c r="B39" s="21">
        <f>Titanic_raw!B39</f>
        <v>1</v>
      </c>
      <c r="C39" s="21" t="str">
        <f t="shared" si="0"/>
        <v>Survived</v>
      </c>
      <c r="D39" s="21" t="str">
        <f>CONCATENATE(Titanic_raw!C39, " Class")</f>
        <v>3 Class</v>
      </c>
      <c r="E39" s="23" t="str">
        <f>INDEX(tbl_passenger[Full Name],MATCH(A39,tbl_passenger[PassengerId],0))</f>
        <v>Miss. Manda Cacic</v>
      </c>
      <c r="F39" t="str">
        <f>INDEX(tbl_passenger[Sex],MATCH(A39,tbl_passenger[PassengerId],0))</f>
        <v>Female</v>
      </c>
      <c r="G39" t="str">
        <f>IF(tbl_figures[Age]&lt;20, "Teens (0-19)", IF(tbl_figures[Age] &lt;40, "Youth (20-39)", IF(tbl_figures[Age]&lt;60, "Adult (40-59)", IF(tbl_figures[Age]&gt;=60, "Elders (60-Above)"))))</f>
        <v>Youth (20-39)</v>
      </c>
      <c r="H39" s="25">
        <f>IF(ISBLANK(Titanic_raw!F39),$C$423,Titanic_raw!F39)</f>
        <v>21</v>
      </c>
      <c r="I39">
        <f>Titanic_raw!G39</f>
        <v>0</v>
      </c>
      <c r="J39">
        <f>Titanic_raw!H39</f>
        <v>0</v>
      </c>
      <c r="K39">
        <f>Titanic_raw!I39</f>
        <v>315087</v>
      </c>
      <c r="L39" s="26">
        <f>IF(ISBLANK(Titanic_raw!J39),$C$427,Titanic_raw!J39)</f>
        <v>8.6624999999999996</v>
      </c>
      <c r="M39">
        <f>Titanic_raw!K39</f>
        <v>0</v>
      </c>
      <c r="N39" t="str">
        <f>IF(Titanic_raw!L39="S","Southampton",IF(Titanic_raw!L39="Q","Queenstown",IF(Titanic_raw!L39="C","Cherbourg")))</f>
        <v>Southampton</v>
      </c>
    </row>
    <row r="40" spans="1:23" x14ac:dyDescent="0.2">
      <c r="A40" s="18">
        <f>Titanic_raw!A40</f>
        <v>930</v>
      </c>
      <c r="B40" s="17">
        <f>Titanic_raw!B40</f>
        <v>0</v>
      </c>
      <c r="C40" s="17" t="str">
        <f t="shared" si="0"/>
        <v>Dead</v>
      </c>
      <c r="D40" s="17" t="str">
        <f>CONCATENATE(Titanic_raw!C40, " Class")</f>
        <v>3 Class</v>
      </c>
      <c r="E40" s="19" t="str">
        <f>INDEX(tbl_passenger[Full Name],MATCH(A40,tbl_passenger[PassengerId],0))</f>
        <v>Mr. Julius Sap</v>
      </c>
      <c r="F40" t="str">
        <f>INDEX(tbl_passenger[Sex],MATCH(A40,tbl_passenger[PassengerId],0))</f>
        <v>Male</v>
      </c>
      <c r="G40" t="str">
        <f>IF(tbl_figures[Age]&lt;20, "Teens (0-19)", IF(tbl_figures[Age] &lt;40, "Youth (20-39)", IF(tbl_figures[Age]&lt;60, "Adult (40-59)", IF(tbl_figures[Age]&gt;=60, "Elders (60-Above)"))))</f>
        <v>Youth (20-39)</v>
      </c>
      <c r="H40" s="25">
        <f>IF(ISBLANK(Titanic_raw!F40),$C$423,Titanic_raw!F40)</f>
        <v>25</v>
      </c>
      <c r="I40">
        <f>Titanic_raw!G40</f>
        <v>0</v>
      </c>
      <c r="J40">
        <f>Titanic_raw!H40</f>
        <v>0</v>
      </c>
      <c r="K40">
        <f>Titanic_raw!I40</f>
        <v>345768</v>
      </c>
      <c r="L40" s="26">
        <f>IF(ISBLANK(Titanic_raw!J40),$C$427,Titanic_raw!J40)</f>
        <v>9.5</v>
      </c>
      <c r="M40">
        <f>Titanic_raw!K40</f>
        <v>0</v>
      </c>
      <c r="N40" t="str">
        <f>IF(Titanic_raw!L40="S","Southampton",IF(Titanic_raw!L40="Q","Queenstown",IF(Titanic_raw!L40="C","Cherbourg")))</f>
        <v>Southampton</v>
      </c>
    </row>
    <row r="41" spans="1:23" x14ac:dyDescent="0.2">
      <c r="A41" s="18">
        <f>Titanic_raw!A41</f>
        <v>931</v>
      </c>
      <c r="B41" s="21">
        <f>Titanic_raw!B41</f>
        <v>0</v>
      </c>
      <c r="C41" s="21" t="str">
        <f t="shared" si="0"/>
        <v>Dead</v>
      </c>
      <c r="D41" s="21" t="str">
        <f>CONCATENATE(Titanic_raw!C41, " Class")</f>
        <v>3 Class</v>
      </c>
      <c r="E41" s="23" t="str">
        <f>INDEX(tbl_passenger[Full Name],MATCH(A41,tbl_passenger[PassengerId],0))</f>
        <v>Mr. Ling Hee</v>
      </c>
      <c r="F41" t="str">
        <f>INDEX(tbl_passenger[Sex],MATCH(A41,tbl_passenger[PassengerId],0))</f>
        <v>Male</v>
      </c>
      <c r="G41" t="str">
        <f>IF(tbl_figures[Age]&lt;20, "Teens (0-19)", IF(tbl_figures[Age] &lt;40, "Youth (20-39)", IF(tbl_figures[Age]&lt;60, "Adult (40-59)", IF(tbl_figures[Age]&gt;=60, "Elders (60-Above)"))))</f>
        <v>Youth (20-39)</v>
      </c>
      <c r="H41" s="25">
        <f>IF(ISBLANK(Titanic_raw!F41),$C$423,Titanic_raw!F41)</f>
        <v>30.272590325616491</v>
      </c>
      <c r="I41">
        <f>Titanic_raw!G41</f>
        <v>0</v>
      </c>
      <c r="J41">
        <f>Titanic_raw!H41</f>
        <v>0</v>
      </c>
      <c r="K41">
        <f>Titanic_raw!I41</f>
        <v>1601</v>
      </c>
      <c r="L41" s="26">
        <f>IF(ISBLANK(Titanic_raw!J41),$C$427,Titanic_raw!J41)</f>
        <v>56.495800000000003</v>
      </c>
      <c r="M41">
        <f>Titanic_raw!K41</f>
        <v>0</v>
      </c>
      <c r="N41" t="str">
        <f>IF(Titanic_raw!L41="S","Southampton",IF(Titanic_raw!L41="Q","Queenstown",IF(Titanic_raw!L41="C","Cherbourg")))</f>
        <v>Southampton</v>
      </c>
    </row>
    <row r="42" spans="1:23" x14ac:dyDescent="0.2">
      <c r="A42" s="18">
        <f>Titanic_raw!A42</f>
        <v>932</v>
      </c>
      <c r="B42" s="17">
        <f>Titanic_raw!B42</f>
        <v>0</v>
      </c>
      <c r="C42" s="17" t="str">
        <f t="shared" si="0"/>
        <v>Dead</v>
      </c>
      <c r="D42" s="17" t="str">
        <f>CONCATENATE(Titanic_raw!C42, " Class")</f>
        <v>3 Class</v>
      </c>
      <c r="E42" s="19" t="str">
        <f>INDEX(tbl_passenger[Full Name],MATCH(A42,tbl_passenger[PassengerId],0))</f>
        <v>Mr. Franz Karun</v>
      </c>
      <c r="F42" t="str">
        <f>INDEX(tbl_passenger[Sex],MATCH(A42,tbl_passenger[PassengerId],0))</f>
        <v>Male</v>
      </c>
      <c r="G42" t="str">
        <f>IF(tbl_figures[Age]&lt;20, "Teens (0-19)", IF(tbl_figures[Age] &lt;40, "Youth (20-39)", IF(tbl_figures[Age]&lt;60, "Adult (40-59)", IF(tbl_figures[Age]&gt;=60, "Elders (60-Above)"))))</f>
        <v>Youth (20-39)</v>
      </c>
      <c r="H42" s="25">
        <f>IF(ISBLANK(Titanic_raw!F42),$C$423,Titanic_raw!F42)</f>
        <v>39</v>
      </c>
      <c r="I42">
        <f>Titanic_raw!G42</f>
        <v>0</v>
      </c>
      <c r="J42">
        <f>Titanic_raw!H42</f>
        <v>1</v>
      </c>
      <c r="K42">
        <f>Titanic_raw!I42</f>
        <v>349256</v>
      </c>
      <c r="L42" s="26">
        <f>IF(ISBLANK(Titanic_raw!J42),$C$427,Titanic_raw!J42)</f>
        <v>13.416700000000001</v>
      </c>
      <c r="M42">
        <f>Titanic_raw!K42</f>
        <v>0</v>
      </c>
      <c r="N42" t="str">
        <f>IF(Titanic_raw!L42="S","Southampton",IF(Titanic_raw!L42="Q","Queenstown",IF(Titanic_raw!L42="C","Cherbourg")))</f>
        <v>Cherbourg</v>
      </c>
    </row>
    <row r="43" spans="1:23" x14ac:dyDescent="0.2">
      <c r="A43" s="18">
        <f>Titanic_raw!A43</f>
        <v>933</v>
      </c>
      <c r="B43" s="21">
        <f>Titanic_raw!B43</f>
        <v>0</v>
      </c>
      <c r="C43" s="21" t="str">
        <f t="shared" si="0"/>
        <v>Dead</v>
      </c>
      <c r="D43" s="21" t="str">
        <f>CONCATENATE(Titanic_raw!C43, " Class")</f>
        <v>1 Class</v>
      </c>
      <c r="E43" s="23" t="str">
        <f>INDEX(tbl_passenger[Full Name],MATCH(A43,tbl_passenger[PassengerId],0))</f>
        <v>Mr. Thomas Parham Franklin</v>
      </c>
      <c r="F43" t="str">
        <f>INDEX(tbl_passenger[Sex],MATCH(A43,tbl_passenger[PassengerId],0))</f>
        <v>Male</v>
      </c>
      <c r="G43" t="str">
        <f>IF(tbl_figures[Age]&lt;20, "Teens (0-19)", IF(tbl_figures[Age] &lt;40, "Youth (20-39)", IF(tbl_figures[Age]&lt;60, "Adult (40-59)", IF(tbl_figures[Age]&gt;=60, "Elders (60-Above)"))))</f>
        <v>Youth (20-39)</v>
      </c>
      <c r="H43" s="25">
        <f>IF(ISBLANK(Titanic_raw!F43),$C$423,Titanic_raw!F43)</f>
        <v>30.272590325616491</v>
      </c>
      <c r="I43">
        <f>Titanic_raw!G43</f>
        <v>0</v>
      </c>
      <c r="J43">
        <f>Titanic_raw!H43</f>
        <v>0</v>
      </c>
      <c r="K43">
        <f>Titanic_raw!I43</f>
        <v>113778</v>
      </c>
      <c r="L43" s="26">
        <f>IF(ISBLANK(Titanic_raw!J43),$C$427,Titanic_raw!J43)</f>
        <v>26.55</v>
      </c>
      <c r="M43" t="str">
        <f>Titanic_raw!K43</f>
        <v>D34</v>
      </c>
      <c r="N43" t="str">
        <f>IF(Titanic_raw!L43="S","Southampton",IF(Titanic_raw!L43="Q","Queenstown",IF(Titanic_raw!L43="C","Cherbourg")))</f>
        <v>Southampton</v>
      </c>
    </row>
    <row r="44" spans="1:23" x14ac:dyDescent="0.2">
      <c r="A44" s="18">
        <f>Titanic_raw!A44</f>
        <v>934</v>
      </c>
      <c r="B44" s="17">
        <f>Titanic_raw!B44</f>
        <v>0</v>
      </c>
      <c r="C44" s="17" t="str">
        <f t="shared" si="0"/>
        <v>Dead</v>
      </c>
      <c r="D44" s="17" t="str">
        <f>CONCATENATE(Titanic_raw!C44, " Class")</f>
        <v>3 Class</v>
      </c>
      <c r="E44" s="19" t="str">
        <f>INDEX(tbl_passenger[Full Name],MATCH(A44,tbl_passenger[PassengerId],0))</f>
        <v>Mr. Nathan Goldsmith</v>
      </c>
      <c r="F44" t="str">
        <f>INDEX(tbl_passenger[Sex],MATCH(A44,tbl_passenger[PassengerId],0))</f>
        <v>Male</v>
      </c>
      <c r="G44" t="str">
        <f>IF(tbl_figures[Age]&lt;20, "Teens (0-19)", IF(tbl_figures[Age] &lt;40, "Youth (20-39)", IF(tbl_figures[Age]&lt;60, "Adult (40-59)", IF(tbl_figures[Age]&gt;=60, "Elders (60-Above)"))))</f>
        <v>Adult (40-59)</v>
      </c>
      <c r="H44" s="25">
        <f>IF(ISBLANK(Titanic_raw!F44),$C$423,Titanic_raw!F44)</f>
        <v>41</v>
      </c>
      <c r="I44">
        <f>Titanic_raw!G44</f>
        <v>0</v>
      </c>
      <c r="J44">
        <f>Titanic_raw!H44</f>
        <v>0</v>
      </c>
      <c r="K44" t="str">
        <f>Titanic_raw!I44</f>
        <v>SOTON/O.Q. 3101263</v>
      </c>
      <c r="L44" s="26">
        <f>IF(ISBLANK(Titanic_raw!J44),$C$427,Titanic_raw!J44)</f>
        <v>7.85</v>
      </c>
      <c r="M44">
        <f>Titanic_raw!K44</f>
        <v>0</v>
      </c>
      <c r="N44" t="str">
        <f>IF(Titanic_raw!L44="S","Southampton",IF(Titanic_raw!L44="Q","Queenstown",IF(Titanic_raw!L44="C","Cherbourg")))</f>
        <v>Southampton</v>
      </c>
    </row>
    <row r="45" spans="1:23" x14ac:dyDescent="0.2">
      <c r="A45" s="18">
        <f>Titanic_raw!A45</f>
        <v>935</v>
      </c>
      <c r="B45" s="21">
        <f>Titanic_raw!B45</f>
        <v>1</v>
      </c>
      <c r="C45" s="21" t="str">
        <f t="shared" si="0"/>
        <v>Survived</v>
      </c>
      <c r="D45" s="21" t="str">
        <f>CONCATENATE(Titanic_raw!C45, " Class")</f>
        <v>2 Class</v>
      </c>
      <c r="E45" s="23" t="str">
        <f>INDEX(tbl_passenger[Full Name],MATCH(A45,tbl_passenger[PassengerId],0))</f>
        <v>Mrs. Walter H (Irene Colvin) Corbett</v>
      </c>
      <c r="F45" t="str">
        <f>INDEX(tbl_passenger[Sex],MATCH(A45,tbl_passenger[PassengerId],0))</f>
        <v>Female</v>
      </c>
      <c r="G45" t="str">
        <f>IF(tbl_figures[Age]&lt;20, "Teens (0-19)", IF(tbl_figures[Age] &lt;40, "Youth (20-39)", IF(tbl_figures[Age]&lt;60, "Adult (40-59)", IF(tbl_figures[Age]&gt;=60, "Elders (60-Above)"))))</f>
        <v>Youth (20-39)</v>
      </c>
      <c r="H45" s="25">
        <f>IF(ISBLANK(Titanic_raw!F45),$C$423,Titanic_raw!F45)</f>
        <v>30</v>
      </c>
      <c r="I45">
        <f>Titanic_raw!G45</f>
        <v>0</v>
      </c>
      <c r="J45">
        <f>Titanic_raw!H45</f>
        <v>0</v>
      </c>
      <c r="K45">
        <f>Titanic_raw!I45</f>
        <v>237249</v>
      </c>
      <c r="L45" s="26">
        <f>IF(ISBLANK(Titanic_raw!J45),$C$427,Titanic_raw!J45)</f>
        <v>13</v>
      </c>
      <c r="M45">
        <f>Titanic_raw!K45</f>
        <v>0</v>
      </c>
      <c r="N45" t="str">
        <f>IF(Titanic_raw!L45="S","Southampton",IF(Titanic_raw!L45="Q","Queenstown",IF(Titanic_raw!L45="C","Cherbourg")))</f>
        <v>Southampton</v>
      </c>
    </row>
    <row r="46" spans="1:23" x14ac:dyDescent="0.2">
      <c r="A46" s="18">
        <f>Titanic_raw!A46</f>
        <v>936</v>
      </c>
      <c r="B46" s="17">
        <f>Titanic_raw!B46</f>
        <v>1</v>
      </c>
      <c r="C46" s="17" t="str">
        <f t="shared" si="0"/>
        <v>Survived</v>
      </c>
      <c r="D46" s="17" t="str">
        <f>CONCATENATE(Titanic_raw!C46, " Class")</f>
        <v>1 Class</v>
      </c>
      <c r="E46" s="19" t="str">
        <f>INDEX(tbl_passenger[Full Name],MATCH(A46,tbl_passenger[PassengerId],0))</f>
        <v>Mrs. Edwin Nelson Jr (Gertrude Parsons) Kimball</v>
      </c>
      <c r="F46" t="str">
        <f>INDEX(tbl_passenger[Sex],MATCH(A46,tbl_passenger[PassengerId],0))</f>
        <v>Female</v>
      </c>
      <c r="G46" t="str">
        <f>IF(tbl_figures[Age]&lt;20, "Teens (0-19)", IF(tbl_figures[Age] &lt;40, "Youth (20-39)", IF(tbl_figures[Age]&lt;60, "Adult (40-59)", IF(tbl_figures[Age]&gt;=60, "Elders (60-Above)"))))</f>
        <v>Adult (40-59)</v>
      </c>
      <c r="H46" s="25">
        <f>IF(ISBLANK(Titanic_raw!F46),$C$423,Titanic_raw!F46)</f>
        <v>45</v>
      </c>
      <c r="I46">
        <f>Titanic_raw!G46</f>
        <v>1</v>
      </c>
      <c r="J46">
        <f>Titanic_raw!H46</f>
        <v>0</v>
      </c>
      <c r="K46">
        <f>Titanic_raw!I46</f>
        <v>11753</v>
      </c>
      <c r="L46" s="26">
        <f>IF(ISBLANK(Titanic_raw!J46),$C$427,Titanic_raw!J46)</f>
        <v>52.554200000000002</v>
      </c>
      <c r="M46" t="str">
        <f>Titanic_raw!K46</f>
        <v>D19</v>
      </c>
      <c r="N46" t="str">
        <f>IF(Titanic_raw!L46="S","Southampton",IF(Titanic_raw!L46="Q","Queenstown",IF(Titanic_raw!L46="C","Cherbourg")))</f>
        <v>Southampton</v>
      </c>
    </row>
    <row r="47" spans="1:23" x14ac:dyDescent="0.2">
      <c r="A47" s="18">
        <f>Titanic_raw!A47</f>
        <v>937</v>
      </c>
      <c r="B47" s="21">
        <f>Titanic_raw!B47</f>
        <v>0</v>
      </c>
      <c r="C47" s="21" t="str">
        <f t="shared" si="0"/>
        <v>Dead</v>
      </c>
      <c r="D47" s="21" t="str">
        <f>CONCATENATE(Titanic_raw!C47, " Class")</f>
        <v>3 Class</v>
      </c>
      <c r="E47" s="23" t="str">
        <f>INDEX(tbl_passenger[Full Name],MATCH(A47,tbl_passenger[PassengerId],0))</f>
        <v>Mr. Nikolai Johannes Peltomaki</v>
      </c>
      <c r="F47" t="str">
        <f>INDEX(tbl_passenger[Sex],MATCH(A47,tbl_passenger[PassengerId],0))</f>
        <v>Male</v>
      </c>
      <c r="G47" t="str">
        <f>IF(tbl_figures[Age]&lt;20, "Teens (0-19)", IF(tbl_figures[Age] &lt;40, "Youth (20-39)", IF(tbl_figures[Age]&lt;60, "Adult (40-59)", IF(tbl_figures[Age]&gt;=60, "Elders (60-Above)"))))</f>
        <v>Youth (20-39)</v>
      </c>
      <c r="H47" s="25">
        <f>IF(ISBLANK(Titanic_raw!F47),$C$423,Titanic_raw!F47)</f>
        <v>25</v>
      </c>
      <c r="I47">
        <f>Titanic_raw!G47</f>
        <v>0</v>
      </c>
      <c r="J47">
        <f>Titanic_raw!H47</f>
        <v>0</v>
      </c>
      <c r="K47" t="str">
        <f>Titanic_raw!I47</f>
        <v>STON/O 2. 3101291</v>
      </c>
      <c r="L47" s="26">
        <f>IF(ISBLANK(Titanic_raw!J47),$C$427,Titanic_raw!J47)</f>
        <v>7.9249999999999998</v>
      </c>
      <c r="M47">
        <f>Titanic_raw!K47</f>
        <v>0</v>
      </c>
      <c r="N47" t="str">
        <f>IF(Titanic_raw!L47="S","Southampton",IF(Titanic_raw!L47="Q","Queenstown",IF(Titanic_raw!L47="C","Cherbourg")))</f>
        <v>Southampton</v>
      </c>
      <c r="U47" t="s">
        <v>656</v>
      </c>
    </row>
    <row r="48" spans="1:23" x14ac:dyDescent="0.2">
      <c r="A48" s="18">
        <f>Titanic_raw!A48</f>
        <v>938</v>
      </c>
      <c r="B48" s="17">
        <f>Titanic_raw!B48</f>
        <v>0</v>
      </c>
      <c r="C48" s="17" t="str">
        <f t="shared" si="0"/>
        <v>Dead</v>
      </c>
      <c r="D48" s="17" t="str">
        <f>CONCATENATE(Titanic_raw!C48, " Class")</f>
        <v>1 Class</v>
      </c>
      <c r="E48" s="19" t="str">
        <f>INDEX(tbl_passenger[Full Name],MATCH(A48,tbl_passenger[PassengerId],0))</f>
        <v>Mr. Paul Romaine Chevre</v>
      </c>
      <c r="F48" t="str">
        <f>INDEX(tbl_passenger[Sex],MATCH(A48,tbl_passenger[PassengerId],0))</f>
        <v>Male</v>
      </c>
      <c r="G48" t="str">
        <f>IF(tbl_figures[Age]&lt;20, "Teens (0-19)", IF(tbl_figures[Age] &lt;40, "Youth (20-39)", IF(tbl_figures[Age]&lt;60, "Adult (40-59)", IF(tbl_figures[Age]&gt;=60, "Elders (60-Above)"))))</f>
        <v>Adult (40-59)</v>
      </c>
      <c r="H48" s="25">
        <f>IF(ISBLANK(Titanic_raw!F48),$C$423,Titanic_raw!F48)</f>
        <v>45</v>
      </c>
      <c r="I48">
        <f>Titanic_raw!G48</f>
        <v>0</v>
      </c>
      <c r="J48">
        <f>Titanic_raw!H48</f>
        <v>0</v>
      </c>
      <c r="K48" t="str">
        <f>Titanic_raw!I48</f>
        <v>PC 17594</v>
      </c>
      <c r="L48" s="26">
        <f>IF(ISBLANK(Titanic_raw!J48),$C$427,Titanic_raw!J48)</f>
        <v>29.7</v>
      </c>
      <c r="M48" t="str">
        <f>Titanic_raw!K48</f>
        <v>A9</v>
      </c>
      <c r="N48" t="str">
        <f>IF(Titanic_raw!L48="S","Southampton",IF(Titanic_raw!L48="Q","Queenstown",IF(Titanic_raw!L48="C","Cherbourg")))</f>
        <v>Cherbourg</v>
      </c>
    </row>
    <row r="49" spans="1:22" x14ac:dyDescent="0.2">
      <c r="A49" s="18">
        <f>Titanic_raw!A49</f>
        <v>939</v>
      </c>
      <c r="B49" s="21">
        <f>Titanic_raw!B49</f>
        <v>0</v>
      </c>
      <c r="C49" s="21" t="str">
        <f t="shared" si="0"/>
        <v>Dead</v>
      </c>
      <c r="D49" s="21" t="str">
        <f>CONCATENATE(Titanic_raw!C49, " Class")</f>
        <v>3 Class</v>
      </c>
      <c r="E49" s="23" t="str">
        <f>INDEX(tbl_passenger[Full Name],MATCH(A49,tbl_passenger[PassengerId],0))</f>
        <v>Mr. Patrick Shaughnessy</v>
      </c>
      <c r="F49" t="str">
        <f>INDEX(tbl_passenger[Sex],MATCH(A49,tbl_passenger[PassengerId],0))</f>
        <v>Male</v>
      </c>
      <c r="G49" t="str">
        <f>IF(tbl_figures[Age]&lt;20, "Teens (0-19)", IF(tbl_figures[Age] &lt;40, "Youth (20-39)", IF(tbl_figures[Age]&lt;60, "Adult (40-59)", IF(tbl_figures[Age]&gt;=60, "Elders (60-Above)"))))</f>
        <v>Youth (20-39)</v>
      </c>
      <c r="H49" s="25">
        <f>IF(ISBLANK(Titanic_raw!F49),$C$423,Titanic_raw!F49)</f>
        <v>30.272590325616491</v>
      </c>
      <c r="I49">
        <f>Titanic_raw!G49</f>
        <v>0</v>
      </c>
      <c r="J49">
        <f>Titanic_raw!H49</f>
        <v>0</v>
      </c>
      <c r="K49">
        <f>Titanic_raw!I49</f>
        <v>370374</v>
      </c>
      <c r="L49" s="26">
        <f>IF(ISBLANK(Titanic_raw!J49),$C$427,Titanic_raw!J49)</f>
        <v>7.75</v>
      </c>
      <c r="M49">
        <f>Titanic_raw!K49</f>
        <v>0</v>
      </c>
      <c r="N49" t="str">
        <f>IF(Titanic_raw!L49="S","Southampton",IF(Titanic_raw!L49="Q","Queenstown",IF(Titanic_raw!L49="C","Cherbourg")))</f>
        <v>Queenstown</v>
      </c>
    </row>
    <row r="50" spans="1:22" x14ac:dyDescent="0.2">
      <c r="A50" s="18">
        <f>Titanic_raw!A50</f>
        <v>940</v>
      </c>
      <c r="B50" s="17">
        <f>Titanic_raw!B50</f>
        <v>1</v>
      </c>
      <c r="C50" s="17" t="str">
        <f t="shared" si="0"/>
        <v>Survived</v>
      </c>
      <c r="D50" s="17" t="str">
        <f>CONCATENATE(Titanic_raw!C50, " Class")</f>
        <v>1 Class</v>
      </c>
      <c r="E50" s="19" t="str">
        <f>INDEX(tbl_passenger[Full Name],MATCH(A50,tbl_passenger[PassengerId],0))</f>
        <v>Mrs. William Robert (Emma Eliza Ward) Bucknell</v>
      </c>
      <c r="F50" t="str">
        <f>INDEX(tbl_passenger[Sex],MATCH(A50,tbl_passenger[PassengerId],0))</f>
        <v>Female</v>
      </c>
      <c r="G50" t="str">
        <f>IF(tbl_figures[Age]&lt;20, "Teens (0-19)", IF(tbl_figures[Age] &lt;40, "Youth (20-39)", IF(tbl_figures[Age]&lt;60, "Adult (40-59)", IF(tbl_figures[Age]&gt;=60, "Elders (60-Above)"))))</f>
        <v>Elders (60-Above)</v>
      </c>
      <c r="H50" s="25">
        <f>IF(ISBLANK(Titanic_raw!F50),$C$423,Titanic_raw!F50)</f>
        <v>60</v>
      </c>
      <c r="I50">
        <f>Titanic_raw!G50</f>
        <v>0</v>
      </c>
      <c r="J50">
        <f>Titanic_raw!H50</f>
        <v>0</v>
      </c>
      <c r="K50">
        <f>Titanic_raw!I50</f>
        <v>11813</v>
      </c>
      <c r="L50" s="26">
        <f>IF(ISBLANK(Titanic_raw!J50),$C$427,Titanic_raw!J50)</f>
        <v>76.291700000000006</v>
      </c>
      <c r="M50" t="str">
        <f>Titanic_raw!K50</f>
        <v>D15</v>
      </c>
      <c r="N50" t="str">
        <f>IF(Titanic_raw!L50="S","Southampton",IF(Titanic_raw!L50="Q","Queenstown",IF(Titanic_raw!L50="C","Cherbourg")))</f>
        <v>Cherbourg</v>
      </c>
    </row>
    <row r="51" spans="1:22" x14ac:dyDescent="0.2">
      <c r="A51" s="18">
        <f>Titanic_raw!A51</f>
        <v>941</v>
      </c>
      <c r="B51" s="21">
        <f>Titanic_raw!B51</f>
        <v>1</v>
      </c>
      <c r="C51" s="21" t="str">
        <f t="shared" si="0"/>
        <v>Survived</v>
      </c>
      <c r="D51" s="21" t="str">
        <f>CONCATENATE(Titanic_raw!C51, " Class")</f>
        <v>3 Class</v>
      </c>
      <c r="E51" s="23" t="str">
        <f>INDEX(tbl_passenger[Full Name],MATCH(A51,tbl_passenger[PassengerId],0))</f>
        <v>Mrs. William (Winnie Minnie" Treanor)" Coutts</v>
      </c>
      <c r="F51" t="str">
        <f>INDEX(tbl_passenger[Sex],MATCH(A51,tbl_passenger[PassengerId],0))</f>
        <v>Female</v>
      </c>
      <c r="G51" t="str">
        <f>IF(tbl_figures[Age]&lt;20, "Teens (0-19)", IF(tbl_figures[Age] &lt;40, "Youth (20-39)", IF(tbl_figures[Age]&lt;60, "Adult (40-59)", IF(tbl_figures[Age]&gt;=60, "Elders (60-Above)"))))</f>
        <v>Youth (20-39)</v>
      </c>
      <c r="H51" s="25">
        <f>IF(ISBLANK(Titanic_raw!F51),$C$423,Titanic_raw!F51)</f>
        <v>36</v>
      </c>
      <c r="I51">
        <f>Titanic_raw!G51</f>
        <v>0</v>
      </c>
      <c r="J51">
        <f>Titanic_raw!H51</f>
        <v>2</v>
      </c>
      <c r="K51" t="str">
        <f>Titanic_raw!I51</f>
        <v>C.A. 37671</v>
      </c>
      <c r="L51" s="26">
        <f>IF(ISBLANK(Titanic_raw!J51),$C$427,Titanic_raw!J51)</f>
        <v>15.9</v>
      </c>
      <c r="M51">
        <f>Titanic_raw!K51</f>
        <v>0</v>
      </c>
      <c r="N51" t="str">
        <f>IF(Titanic_raw!L51="S","Southampton",IF(Titanic_raw!L51="Q","Queenstown",IF(Titanic_raw!L51="C","Cherbourg")))</f>
        <v>Southampton</v>
      </c>
    </row>
    <row r="52" spans="1:22" x14ac:dyDescent="0.2">
      <c r="A52" s="18">
        <f>Titanic_raw!A52</f>
        <v>942</v>
      </c>
      <c r="B52" s="17">
        <f>Titanic_raw!B52</f>
        <v>0</v>
      </c>
      <c r="C52" s="17" t="str">
        <f t="shared" si="0"/>
        <v>Dead</v>
      </c>
      <c r="D52" s="17" t="str">
        <f>CONCATENATE(Titanic_raw!C52, " Class")</f>
        <v>1 Class</v>
      </c>
      <c r="E52" s="19" t="str">
        <f>INDEX(tbl_passenger[Full Name],MATCH(A52,tbl_passenger[PassengerId],0))</f>
        <v>Mr. Lucien Philip Smith</v>
      </c>
      <c r="F52" t="str">
        <f>INDEX(tbl_passenger[Sex],MATCH(A52,tbl_passenger[PassengerId],0))</f>
        <v>Male</v>
      </c>
      <c r="G52" t="str">
        <f>IF(tbl_figures[Age]&lt;20, "Teens (0-19)", IF(tbl_figures[Age] &lt;40, "Youth (20-39)", IF(tbl_figures[Age]&lt;60, "Adult (40-59)", IF(tbl_figures[Age]&gt;=60, "Elders (60-Above)"))))</f>
        <v>Youth (20-39)</v>
      </c>
      <c r="H52" s="25">
        <f>IF(ISBLANK(Titanic_raw!F52),$C$423,Titanic_raw!F52)</f>
        <v>24</v>
      </c>
      <c r="I52">
        <f>Titanic_raw!G52</f>
        <v>1</v>
      </c>
      <c r="J52">
        <f>Titanic_raw!H52</f>
        <v>0</v>
      </c>
      <c r="K52">
        <f>Titanic_raw!I52</f>
        <v>13695</v>
      </c>
      <c r="L52" s="26">
        <f>IF(ISBLANK(Titanic_raw!J52),$C$427,Titanic_raw!J52)</f>
        <v>60</v>
      </c>
      <c r="M52" t="str">
        <f>Titanic_raw!K52</f>
        <v>C31</v>
      </c>
      <c r="N52" t="str">
        <f>IF(Titanic_raw!L52="S","Southampton",IF(Titanic_raw!L52="Q","Queenstown",IF(Titanic_raw!L52="C","Cherbourg")))</f>
        <v>Southampton</v>
      </c>
    </row>
    <row r="53" spans="1:22" x14ac:dyDescent="0.2">
      <c r="A53" s="18">
        <f>Titanic_raw!A53</f>
        <v>943</v>
      </c>
      <c r="B53" s="21">
        <f>Titanic_raw!B53</f>
        <v>0</v>
      </c>
      <c r="C53" s="21" t="str">
        <f t="shared" si="0"/>
        <v>Dead</v>
      </c>
      <c r="D53" s="21" t="str">
        <f>CONCATENATE(Titanic_raw!C53, " Class")</f>
        <v>2 Class</v>
      </c>
      <c r="E53" s="23" t="str">
        <f>INDEX(tbl_passenger[Full Name],MATCH(A53,tbl_passenger[PassengerId],0))</f>
        <v>Mr. Franz Pulbaum</v>
      </c>
      <c r="F53" t="str">
        <f>INDEX(tbl_passenger[Sex],MATCH(A53,tbl_passenger[PassengerId],0))</f>
        <v>Male</v>
      </c>
      <c r="G53" t="str">
        <f>IF(tbl_figures[Age]&lt;20, "Teens (0-19)", IF(tbl_figures[Age] &lt;40, "Youth (20-39)", IF(tbl_figures[Age]&lt;60, "Adult (40-59)", IF(tbl_figures[Age]&gt;=60, "Elders (60-Above)"))))</f>
        <v>Youth (20-39)</v>
      </c>
      <c r="H53" s="25">
        <f>IF(ISBLANK(Titanic_raw!F53),$C$423,Titanic_raw!F53)</f>
        <v>27</v>
      </c>
      <c r="I53">
        <f>Titanic_raw!G53</f>
        <v>0</v>
      </c>
      <c r="J53">
        <f>Titanic_raw!H53</f>
        <v>0</v>
      </c>
      <c r="K53" t="str">
        <f>Titanic_raw!I53</f>
        <v>SC/PARIS 2168</v>
      </c>
      <c r="L53" s="26">
        <f>IF(ISBLANK(Titanic_raw!J53),$C$427,Titanic_raw!J53)</f>
        <v>15.033300000000001</v>
      </c>
      <c r="M53">
        <f>Titanic_raw!K53</f>
        <v>0</v>
      </c>
      <c r="N53" t="str">
        <f>IF(Titanic_raw!L53="S","Southampton",IF(Titanic_raw!L53="Q","Queenstown",IF(Titanic_raw!L53="C","Cherbourg")))</f>
        <v>Cherbourg</v>
      </c>
      <c r="T53" t="s">
        <v>624</v>
      </c>
      <c r="U53" s="5" t="s">
        <v>630</v>
      </c>
      <c r="V53" t="s">
        <v>633</v>
      </c>
    </row>
    <row r="54" spans="1:22" x14ac:dyDescent="0.2">
      <c r="A54" s="18">
        <f>Titanic_raw!A54</f>
        <v>944</v>
      </c>
      <c r="B54" s="17">
        <f>Titanic_raw!B54</f>
        <v>1</v>
      </c>
      <c r="C54" s="17" t="str">
        <f t="shared" si="0"/>
        <v>Survived</v>
      </c>
      <c r="D54" s="17" t="str">
        <f>CONCATENATE(Titanic_raw!C54, " Class")</f>
        <v>2 Class</v>
      </c>
      <c r="E54" s="19" t="str">
        <f>INDEX(tbl_passenger[Full Name],MATCH(A54,tbl_passenger[PassengerId],0))</f>
        <v>Miss. Ellen Nellie"" Hocking</v>
      </c>
      <c r="F54" t="str">
        <f>INDEX(tbl_passenger[Sex],MATCH(A54,tbl_passenger[PassengerId],0))</f>
        <v>Female</v>
      </c>
      <c r="G54" t="str">
        <f>IF(tbl_figures[Age]&lt;20, "Teens (0-19)", IF(tbl_figures[Age] &lt;40, "Youth (20-39)", IF(tbl_figures[Age]&lt;60, "Adult (40-59)", IF(tbl_figures[Age]&gt;=60, "Elders (60-Above)"))))</f>
        <v>Youth (20-39)</v>
      </c>
      <c r="H54" s="25">
        <f>IF(ISBLANK(Titanic_raw!F54),$C$423,Titanic_raw!F54)</f>
        <v>20</v>
      </c>
      <c r="I54">
        <f>Titanic_raw!G54</f>
        <v>2</v>
      </c>
      <c r="J54">
        <f>Titanic_raw!H54</f>
        <v>1</v>
      </c>
      <c r="K54">
        <f>Titanic_raw!I54</f>
        <v>29105</v>
      </c>
      <c r="L54" s="26">
        <f>IF(ISBLANK(Titanic_raw!J54),$C$427,Titanic_raw!J54)</f>
        <v>23</v>
      </c>
      <c r="M54">
        <f>Titanic_raw!K54</f>
        <v>0</v>
      </c>
      <c r="N54" t="str">
        <f>IF(Titanic_raw!L54="S","Southampton",IF(Titanic_raw!L54="Q","Queenstown",IF(Titanic_raw!L54="C","Cherbourg")))</f>
        <v>Southampton</v>
      </c>
      <c r="U54" s="6" t="s">
        <v>650</v>
      </c>
      <c r="V54" s="4">
        <v>275</v>
      </c>
    </row>
    <row r="55" spans="1:22" x14ac:dyDescent="0.2">
      <c r="A55" s="18">
        <f>Titanic_raw!A55</f>
        <v>945</v>
      </c>
      <c r="B55" s="21">
        <f>Titanic_raw!B55</f>
        <v>1</v>
      </c>
      <c r="C55" s="21" t="str">
        <f t="shared" si="0"/>
        <v>Survived</v>
      </c>
      <c r="D55" s="21" t="str">
        <f>CONCATENATE(Titanic_raw!C55, " Class")</f>
        <v>1 Class</v>
      </c>
      <c r="E55" s="23" t="str">
        <f>INDEX(tbl_passenger[Full Name],MATCH(A55,tbl_passenger[PassengerId],0))</f>
        <v>Miss. Ethel Flora Fortune</v>
      </c>
      <c r="F55" t="str">
        <f>INDEX(tbl_passenger[Sex],MATCH(A55,tbl_passenger[PassengerId],0))</f>
        <v>Female</v>
      </c>
      <c r="G55" t="str">
        <f>IF(tbl_figures[Age]&lt;20, "Teens (0-19)", IF(tbl_figures[Age] &lt;40, "Youth (20-39)", IF(tbl_figures[Age]&lt;60, "Adult (40-59)", IF(tbl_figures[Age]&gt;=60, "Elders (60-Above)"))))</f>
        <v>Youth (20-39)</v>
      </c>
      <c r="H55" s="25">
        <f>IF(ISBLANK(Titanic_raw!F55),$C$423,Titanic_raw!F55)</f>
        <v>28</v>
      </c>
      <c r="I55">
        <f>Titanic_raw!G55</f>
        <v>3</v>
      </c>
      <c r="J55">
        <f>Titanic_raw!H55</f>
        <v>2</v>
      </c>
      <c r="K55">
        <f>Titanic_raw!I55</f>
        <v>19950</v>
      </c>
      <c r="L55" s="26">
        <f>IF(ISBLANK(Titanic_raw!J55),$C$427,Titanic_raw!J55)</f>
        <v>263</v>
      </c>
      <c r="M55" t="str">
        <f>Titanic_raw!K55</f>
        <v>C23 C25 C27</v>
      </c>
      <c r="N55" t="str">
        <f>IF(Titanic_raw!L55="S","Southampton",IF(Titanic_raw!L55="Q","Queenstown",IF(Titanic_raw!L55="C","Cherbourg")))</f>
        <v>Southampton</v>
      </c>
      <c r="U55" s="6" t="s">
        <v>651</v>
      </c>
      <c r="V55" s="4">
        <v>68</v>
      </c>
    </row>
    <row r="56" spans="1:22" x14ac:dyDescent="0.2">
      <c r="A56" s="18">
        <f>Titanic_raw!A56</f>
        <v>946</v>
      </c>
      <c r="B56" s="17">
        <f>Titanic_raw!B56</f>
        <v>0</v>
      </c>
      <c r="C56" s="17" t="str">
        <f t="shared" si="0"/>
        <v>Dead</v>
      </c>
      <c r="D56" s="17" t="str">
        <f>CONCATENATE(Titanic_raw!C56, " Class")</f>
        <v>2 Class</v>
      </c>
      <c r="E56" s="19" t="str">
        <f>INDEX(tbl_passenger[Full Name],MATCH(A56,tbl_passenger[PassengerId],0))</f>
        <v>Mr. Serafino Emilio Mangiavacchi</v>
      </c>
      <c r="F56" t="str">
        <f>INDEX(tbl_passenger[Sex],MATCH(A56,tbl_passenger[PassengerId],0))</f>
        <v>Male</v>
      </c>
      <c r="G56" t="str">
        <f>IF(tbl_figures[Age]&lt;20, "Teens (0-19)", IF(tbl_figures[Age] &lt;40, "Youth (20-39)", IF(tbl_figures[Age]&lt;60, "Adult (40-59)", IF(tbl_figures[Age]&gt;=60, "Elders (60-Above)"))))</f>
        <v>Youth (20-39)</v>
      </c>
      <c r="H56" s="25">
        <f>IF(ISBLANK(Titanic_raw!F56),$C$423,Titanic_raw!F56)</f>
        <v>30.272590325616491</v>
      </c>
      <c r="I56">
        <f>Titanic_raw!G56</f>
        <v>0</v>
      </c>
      <c r="J56">
        <f>Titanic_raw!H56</f>
        <v>0</v>
      </c>
      <c r="K56" t="str">
        <f>Titanic_raw!I56</f>
        <v>SC/A.3 2861</v>
      </c>
      <c r="L56" s="26">
        <f>IF(ISBLANK(Titanic_raw!J56),$C$427,Titanic_raw!J56)</f>
        <v>15.5792</v>
      </c>
      <c r="M56">
        <f>Titanic_raw!K56</f>
        <v>0</v>
      </c>
      <c r="N56" t="str">
        <f>IF(Titanic_raw!L56="S","Southampton",IF(Titanic_raw!L56="Q","Queenstown",IF(Titanic_raw!L56="C","Cherbourg")))</f>
        <v>Cherbourg</v>
      </c>
      <c r="U56" s="6" t="s">
        <v>682</v>
      </c>
      <c r="V56" s="4">
        <v>61</v>
      </c>
    </row>
    <row r="57" spans="1:22" x14ac:dyDescent="0.2">
      <c r="A57" s="18">
        <f>Titanic_raw!A57</f>
        <v>947</v>
      </c>
      <c r="B57" s="21">
        <f>Titanic_raw!B57</f>
        <v>0</v>
      </c>
      <c r="C57" s="21" t="str">
        <f t="shared" si="0"/>
        <v>Dead</v>
      </c>
      <c r="D57" s="21" t="str">
        <f>CONCATENATE(Titanic_raw!C57, " Class")</f>
        <v>3 Class</v>
      </c>
      <c r="E57" s="23" t="str">
        <f>INDEX(tbl_passenger[Full Name],MATCH(A57,tbl_passenger[PassengerId],0))</f>
        <v>Master. Albert Rice</v>
      </c>
      <c r="F57" t="str">
        <f>INDEX(tbl_passenger[Sex],MATCH(A57,tbl_passenger[PassengerId],0))</f>
        <v>Male</v>
      </c>
      <c r="G57" t="str">
        <f>IF(tbl_figures[Age]&lt;20, "Teens (0-19)", IF(tbl_figures[Age] &lt;40, "Youth (20-39)", IF(tbl_figures[Age]&lt;60, "Adult (40-59)", IF(tbl_figures[Age]&gt;=60, "Elders (60-Above)"))))</f>
        <v>Teens (0-19)</v>
      </c>
      <c r="H57" s="25">
        <f>IF(ISBLANK(Titanic_raw!F57),$C$423,Titanic_raw!F57)</f>
        <v>10</v>
      </c>
      <c r="I57">
        <f>Titanic_raw!G57</f>
        <v>4</v>
      </c>
      <c r="J57">
        <f>Titanic_raw!H57</f>
        <v>1</v>
      </c>
      <c r="K57">
        <f>Titanic_raw!I57</f>
        <v>382652</v>
      </c>
      <c r="L57" s="26">
        <f>IF(ISBLANK(Titanic_raw!J57),$C$427,Titanic_raw!J57)</f>
        <v>29.125</v>
      </c>
      <c r="M57">
        <f>Titanic_raw!K57</f>
        <v>0</v>
      </c>
      <c r="N57" t="str">
        <f>IF(Titanic_raw!L57="S","Southampton",IF(Titanic_raw!L57="Q","Queenstown",IF(Titanic_raw!L57="C","Cherbourg")))</f>
        <v>Queenstown</v>
      </c>
      <c r="U57" s="6" t="s">
        <v>683</v>
      </c>
      <c r="V57" s="4">
        <v>14</v>
      </c>
    </row>
    <row r="58" spans="1:22" x14ac:dyDescent="0.2">
      <c r="A58" s="18">
        <f>Titanic_raw!A58</f>
        <v>948</v>
      </c>
      <c r="B58" s="17">
        <f>Titanic_raw!B58</f>
        <v>0</v>
      </c>
      <c r="C58" s="17" t="str">
        <f t="shared" si="0"/>
        <v>Dead</v>
      </c>
      <c r="D58" s="17" t="str">
        <f>CONCATENATE(Titanic_raw!C58, " Class")</f>
        <v>3 Class</v>
      </c>
      <c r="E58" s="19" t="str">
        <f>INDEX(tbl_passenger[Full Name],MATCH(A58,tbl_passenger[PassengerId],0))</f>
        <v>Mr. Bartol Cor</v>
      </c>
      <c r="F58" t="str">
        <f>INDEX(tbl_passenger[Sex],MATCH(A58,tbl_passenger[PassengerId],0))</f>
        <v>Male</v>
      </c>
      <c r="G58" t="str">
        <f>IF(tbl_figures[Age]&lt;20, "Teens (0-19)", IF(tbl_figures[Age] &lt;40, "Youth (20-39)", IF(tbl_figures[Age]&lt;60, "Adult (40-59)", IF(tbl_figures[Age]&gt;=60, "Elders (60-Above)"))))</f>
        <v>Youth (20-39)</v>
      </c>
      <c r="H58" s="25">
        <f>IF(ISBLANK(Titanic_raw!F58),$C$423,Titanic_raw!F58)</f>
        <v>35</v>
      </c>
      <c r="I58">
        <f>Titanic_raw!G58</f>
        <v>0</v>
      </c>
      <c r="J58">
        <f>Titanic_raw!H58</f>
        <v>0</v>
      </c>
      <c r="K58">
        <f>Titanic_raw!I58</f>
        <v>349230</v>
      </c>
      <c r="L58" s="26">
        <f>IF(ISBLANK(Titanic_raw!J58),$C$427,Titanic_raw!J58)</f>
        <v>7.8958000000000004</v>
      </c>
      <c r="M58">
        <f>Titanic_raw!K58</f>
        <v>0</v>
      </c>
      <c r="N58" t="str">
        <f>IF(Titanic_raw!L58="S","Southampton",IF(Titanic_raw!L58="Q","Queenstown",IF(Titanic_raw!L58="C","Cherbourg")))</f>
        <v>Southampton</v>
      </c>
      <c r="U58" s="6" t="s">
        <v>631</v>
      </c>
      <c r="V58" s="4">
        <v>418</v>
      </c>
    </row>
    <row r="59" spans="1:22" x14ac:dyDescent="0.2">
      <c r="A59" s="18">
        <f>Titanic_raw!A59</f>
        <v>949</v>
      </c>
      <c r="B59" s="21">
        <f>Titanic_raw!B59</f>
        <v>0</v>
      </c>
      <c r="C59" s="21" t="str">
        <f t="shared" si="0"/>
        <v>Dead</v>
      </c>
      <c r="D59" s="21" t="str">
        <f>CONCATENATE(Titanic_raw!C59, " Class")</f>
        <v>3 Class</v>
      </c>
      <c r="E59" s="23" t="str">
        <f>INDEX(tbl_passenger[Full Name],MATCH(A59,tbl_passenger[PassengerId],0))</f>
        <v>Mr. Olaus Jorgensen Abelseth</v>
      </c>
      <c r="F59" t="str">
        <f>INDEX(tbl_passenger[Sex],MATCH(A59,tbl_passenger[PassengerId],0))</f>
        <v>Male</v>
      </c>
      <c r="G59" t="str">
        <f>IF(tbl_figures[Age]&lt;20, "Teens (0-19)", IF(tbl_figures[Age] &lt;40, "Youth (20-39)", IF(tbl_figures[Age]&lt;60, "Adult (40-59)", IF(tbl_figures[Age]&gt;=60, "Elders (60-Above)"))))</f>
        <v>Youth (20-39)</v>
      </c>
      <c r="H59" s="25">
        <f>IF(ISBLANK(Titanic_raw!F59),$C$423,Titanic_raw!F59)</f>
        <v>25</v>
      </c>
      <c r="I59">
        <f>Titanic_raw!G59</f>
        <v>0</v>
      </c>
      <c r="J59">
        <f>Titanic_raw!H59</f>
        <v>0</v>
      </c>
      <c r="K59">
        <f>Titanic_raw!I59</f>
        <v>348122</v>
      </c>
      <c r="L59" s="26">
        <f>IF(ISBLANK(Titanic_raw!J59),$C$427,Titanic_raw!J59)</f>
        <v>7.65</v>
      </c>
      <c r="M59" t="str">
        <f>Titanic_raw!K59</f>
        <v>F G63</v>
      </c>
      <c r="N59" t="str">
        <f>IF(Titanic_raw!L59="S","Southampton",IF(Titanic_raw!L59="Q","Queenstown",IF(Titanic_raw!L59="C","Cherbourg")))</f>
        <v>Southampton</v>
      </c>
    </row>
    <row r="60" spans="1:22" x14ac:dyDescent="0.2">
      <c r="A60" s="18">
        <f>Titanic_raw!A60</f>
        <v>950</v>
      </c>
      <c r="B60" s="17">
        <f>Titanic_raw!B60</f>
        <v>0</v>
      </c>
      <c r="C60" s="17" t="str">
        <f t="shared" si="0"/>
        <v>Dead</v>
      </c>
      <c r="D60" s="17" t="str">
        <f>CONCATENATE(Titanic_raw!C60, " Class")</f>
        <v>3 Class</v>
      </c>
      <c r="E60" s="19" t="str">
        <f>INDEX(tbl_passenger[Full Name],MATCH(A60,tbl_passenger[PassengerId],0))</f>
        <v>Mr. Thomas Henry Davison</v>
      </c>
      <c r="F60" t="str">
        <f>INDEX(tbl_passenger[Sex],MATCH(A60,tbl_passenger[PassengerId],0))</f>
        <v>Male</v>
      </c>
      <c r="G60" t="str">
        <f>IF(tbl_figures[Age]&lt;20, "Teens (0-19)", IF(tbl_figures[Age] &lt;40, "Youth (20-39)", IF(tbl_figures[Age]&lt;60, "Adult (40-59)", IF(tbl_figures[Age]&gt;=60, "Elders (60-Above)"))))</f>
        <v>Youth (20-39)</v>
      </c>
      <c r="H60" s="25">
        <f>IF(ISBLANK(Titanic_raw!F60),$C$423,Titanic_raw!F60)</f>
        <v>30.272590325616491</v>
      </c>
      <c r="I60">
        <f>Titanic_raw!G60</f>
        <v>1</v>
      </c>
      <c r="J60">
        <f>Titanic_raw!H60</f>
        <v>0</v>
      </c>
      <c r="K60">
        <f>Titanic_raw!I60</f>
        <v>386525</v>
      </c>
      <c r="L60" s="26">
        <f>IF(ISBLANK(Titanic_raw!J60),$C$427,Titanic_raw!J60)</f>
        <v>16.100000000000001</v>
      </c>
      <c r="M60">
        <f>Titanic_raw!K60</f>
        <v>0</v>
      </c>
      <c r="N60" t="str">
        <f>IF(Titanic_raw!L60="S","Southampton",IF(Titanic_raw!L60="Q","Queenstown",IF(Titanic_raw!L60="C","Cherbourg")))</f>
        <v>Southampton</v>
      </c>
    </row>
    <row r="61" spans="1:22" x14ac:dyDescent="0.2">
      <c r="A61" s="18">
        <f>Titanic_raw!A61</f>
        <v>951</v>
      </c>
      <c r="B61" s="21">
        <f>Titanic_raw!B61</f>
        <v>1</v>
      </c>
      <c r="C61" s="21" t="str">
        <f t="shared" si="0"/>
        <v>Survived</v>
      </c>
      <c r="D61" s="21" t="str">
        <f>CONCATENATE(Titanic_raw!C61, " Class")</f>
        <v>1 Class</v>
      </c>
      <c r="E61" s="23" t="str">
        <f>INDEX(tbl_passenger[Full Name],MATCH(A61,tbl_passenger[PassengerId],0))</f>
        <v>Miss. Victorine Chaudanson</v>
      </c>
      <c r="F61" t="str">
        <f>INDEX(tbl_passenger[Sex],MATCH(A61,tbl_passenger[PassengerId],0))</f>
        <v>Female</v>
      </c>
      <c r="G61" t="str">
        <f>IF(tbl_figures[Age]&lt;20, "Teens (0-19)", IF(tbl_figures[Age] &lt;40, "Youth (20-39)", IF(tbl_figures[Age]&lt;60, "Adult (40-59)", IF(tbl_figures[Age]&gt;=60, "Elders (60-Above)"))))</f>
        <v>Youth (20-39)</v>
      </c>
      <c r="H61" s="25">
        <f>IF(ISBLANK(Titanic_raw!F61),$C$423,Titanic_raw!F61)</f>
        <v>36</v>
      </c>
      <c r="I61">
        <f>Titanic_raw!G61</f>
        <v>0</v>
      </c>
      <c r="J61">
        <f>Titanic_raw!H61</f>
        <v>0</v>
      </c>
      <c r="K61" t="str">
        <f>Titanic_raw!I61</f>
        <v>PC 17608</v>
      </c>
      <c r="L61" s="26">
        <f>IF(ISBLANK(Titanic_raw!J61),$C$427,Titanic_raw!J61)</f>
        <v>262.375</v>
      </c>
      <c r="M61" t="str">
        <f>Titanic_raw!K61</f>
        <v>B61</v>
      </c>
      <c r="N61" t="str">
        <f>IF(Titanic_raw!L61="S","Southampton",IF(Titanic_raw!L61="Q","Queenstown",IF(Titanic_raw!L61="C","Cherbourg")))</f>
        <v>Cherbourg</v>
      </c>
    </row>
    <row r="62" spans="1:22" x14ac:dyDescent="0.2">
      <c r="A62" s="18">
        <f>Titanic_raw!A62</f>
        <v>952</v>
      </c>
      <c r="B62" s="17">
        <f>Titanic_raw!B62</f>
        <v>0</v>
      </c>
      <c r="C62" s="17" t="str">
        <f t="shared" si="0"/>
        <v>Dead</v>
      </c>
      <c r="D62" s="17" t="str">
        <f>CONCATENATE(Titanic_raw!C62, " Class")</f>
        <v>3 Class</v>
      </c>
      <c r="E62" s="19" t="str">
        <f>INDEX(tbl_passenger[Full Name],MATCH(A62,tbl_passenger[PassengerId],0))</f>
        <v>Mr. Mirko Dika</v>
      </c>
      <c r="F62" t="str">
        <f>INDEX(tbl_passenger[Sex],MATCH(A62,tbl_passenger[PassengerId],0))</f>
        <v>Male</v>
      </c>
      <c r="G62" t="str">
        <f>IF(tbl_figures[Age]&lt;20, "Teens (0-19)", IF(tbl_figures[Age] &lt;40, "Youth (20-39)", IF(tbl_figures[Age]&lt;60, "Adult (40-59)", IF(tbl_figures[Age]&gt;=60, "Elders (60-Above)"))))</f>
        <v>Teens (0-19)</v>
      </c>
      <c r="H62" s="25">
        <f>IF(ISBLANK(Titanic_raw!F62),$C$423,Titanic_raw!F62)</f>
        <v>17</v>
      </c>
      <c r="I62">
        <f>Titanic_raw!G62</f>
        <v>0</v>
      </c>
      <c r="J62">
        <f>Titanic_raw!H62</f>
        <v>0</v>
      </c>
      <c r="K62">
        <f>Titanic_raw!I62</f>
        <v>349232</v>
      </c>
      <c r="L62" s="26">
        <f>IF(ISBLANK(Titanic_raw!J62),$C$427,Titanic_raw!J62)</f>
        <v>7.8958000000000004</v>
      </c>
      <c r="M62">
        <f>Titanic_raw!K62</f>
        <v>0</v>
      </c>
      <c r="N62" t="str">
        <f>IF(Titanic_raw!L62="S","Southampton",IF(Titanic_raw!L62="Q","Queenstown",IF(Titanic_raw!L62="C","Cherbourg")))</f>
        <v>Southampton</v>
      </c>
    </row>
    <row r="63" spans="1:22" x14ac:dyDescent="0.2">
      <c r="A63" s="18">
        <f>Titanic_raw!A63</f>
        <v>953</v>
      </c>
      <c r="B63" s="21">
        <f>Titanic_raw!B63</f>
        <v>0</v>
      </c>
      <c r="C63" s="21" t="str">
        <f t="shared" si="0"/>
        <v>Dead</v>
      </c>
      <c r="D63" s="21" t="str">
        <f>CONCATENATE(Titanic_raw!C63, " Class")</f>
        <v>2 Class</v>
      </c>
      <c r="E63" s="23" t="str">
        <f>INDEX(tbl_passenger[Full Name],MATCH(A63,tbl_passenger[PassengerId],0))</f>
        <v>Mr. Arthur Gordon McCrae</v>
      </c>
      <c r="F63" t="str">
        <f>INDEX(tbl_passenger[Sex],MATCH(A63,tbl_passenger[PassengerId],0))</f>
        <v>Male</v>
      </c>
      <c r="G63" t="str">
        <f>IF(tbl_figures[Age]&lt;20, "Teens (0-19)", IF(tbl_figures[Age] &lt;40, "Youth (20-39)", IF(tbl_figures[Age]&lt;60, "Adult (40-59)", IF(tbl_figures[Age]&gt;=60, "Elders (60-Above)"))))</f>
        <v>Youth (20-39)</v>
      </c>
      <c r="H63" s="25">
        <f>IF(ISBLANK(Titanic_raw!F63),$C$423,Titanic_raw!F63)</f>
        <v>32</v>
      </c>
      <c r="I63">
        <f>Titanic_raw!G63</f>
        <v>0</v>
      </c>
      <c r="J63">
        <f>Titanic_raw!H63</f>
        <v>0</v>
      </c>
      <c r="K63">
        <f>Titanic_raw!I63</f>
        <v>237216</v>
      </c>
      <c r="L63" s="26">
        <f>IF(ISBLANK(Titanic_raw!J63),$C$427,Titanic_raw!J63)</f>
        <v>13.5</v>
      </c>
      <c r="M63">
        <f>Titanic_raw!K63</f>
        <v>0</v>
      </c>
      <c r="N63" t="str">
        <f>IF(Titanic_raw!L63="S","Southampton",IF(Titanic_raw!L63="Q","Queenstown",IF(Titanic_raw!L63="C","Cherbourg")))</f>
        <v>Southampton</v>
      </c>
    </row>
    <row r="64" spans="1:22" x14ac:dyDescent="0.2">
      <c r="A64" s="18">
        <f>Titanic_raw!A64</f>
        <v>954</v>
      </c>
      <c r="B64" s="17">
        <f>Titanic_raw!B64</f>
        <v>0</v>
      </c>
      <c r="C64" s="17" t="str">
        <f t="shared" si="0"/>
        <v>Dead</v>
      </c>
      <c r="D64" s="17" t="str">
        <f>CONCATENATE(Titanic_raw!C64, " Class")</f>
        <v>3 Class</v>
      </c>
      <c r="E64" s="19" t="str">
        <f>INDEX(tbl_passenger[Full Name],MATCH(A64,tbl_passenger[PassengerId],0))</f>
        <v>Mr. Ernst Herbert Bjorklund</v>
      </c>
      <c r="F64" t="str">
        <f>INDEX(tbl_passenger[Sex],MATCH(A64,tbl_passenger[PassengerId],0))</f>
        <v>Male</v>
      </c>
      <c r="G64" t="str">
        <f>IF(tbl_figures[Age]&lt;20, "Teens (0-19)", IF(tbl_figures[Age] &lt;40, "Youth (20-39)", IF(tbl_figures[Age]&lt;60, "Adult (40-59)", IF(tbl_figures[Age]&gt;=60, "Elders (60-Above)"))))</f>
        <v>Teens (0-19)</v>
      </c>
      <c r="H64" s="25">
        <f>IF(ISBLANK(Titanic_raw!F64),$C$423,Titanic_raw!F64)</f>
        <v>18</v>
      </c>
      <c r="I64">
        <f>Titanic_raw!G64</f>
        <v>0</v>
      </c>
      <c r="J64">
        <f>Titanic_raw!H64</f>
        <v>0</v>
      </c>
      <c r="K64">
        <f>Titanic_raw!I64</f>
        <v>347090</v>
      </c>
      <c r="L64" s="26">
        <f>IF(ISBLANK(Titanic_raw!J64),$C$427,Titanic_raw!J64)</f>
        <v>7.75</v>
      </c>
      <c r="M64">
        <f>Titanic_raw!K64</f>
        <v>0</v>
      </c>
      <c r="N64" t="str">
        <f>IF(Titanic_raw!L64="S","Southampton",IF(Titanic_raw!L64="Q","Queenstown",IF(Titanic_raw!L64="C","Cherbourg")))</f>
        <v>Southampton</v>
      </c>
    </row>
    <row r="65" spans="1:22" x14ac:dyDescent="0.2">
      <c r="A65" s="18">
        <f>Titanic_raw!A65</f>
        <v>955</v>
      </c>
      <c r="B65" s="21">
        <f>Titanic_raw!B65</f>
        <v>1</v>
      </c>
      <c r="C65" s="21" t="str">
        <f t="shared" si="0"/>
        <v>Survived</v>
      </c>
      <c r="D65" s="21" t="str">
        <f>CONCATENATE(Titanic_raw!C65, " Class")</f>
        <v>3 Class</v>
      </c>
      <c r="E65" s="23" t="str">
        <f>INDEX(tbl_passenger[Full Name],MATCH(A65,tbl_passenger[PassengerId],0))</f>
        <v>Miss. Bridget Delia Bradley</v>
      </c>
      <c r="F65" t="str">
        <f>INDEX(tbl_passenger[Sex],MATCH(A65,tbl_passenger[PassengerId],0))</f>
        <v>Female</v>
      </c>
      <c r="G65" t="str">
        <f>IF(tbl_figures[Age]&lt;20, "Teens (0-19)", IF(tbl_figures[Age] &lt;40, "Youth (20-39)", IF(tbl_figures[Age]&lt;60, "Adult (40-59)", IF(tbl_figures[Age]&gt;=60, "Elders (60-Above)"))))</f>
        <v>Youth (20-39)</v>
      </c>
      <c r="H65" s="25">
        <f>IF(ISBLANK(Titanic_raw!F65),$C$423,Titanic_raw!F65)</f>
        <v>22</v>
      </c>
      <c r="I65">
        <f>Titanic_raw!G65</f>
        <v>0</v>
      </c>
      <c r="J65">
        <f>Titanic_raw!H65</f>
        <v>0</v>
      </c>
      <c r="K65">
        <f>Titanic_raw!I65</f>
        <v>334914</v>
      </c>
      <c r="L65" s="26">
        <f>IF(ISBLANK(Titanic_raw!J65),$C$427,Titanic_raw!J65)</f>
        <v>7.7249999999999996</v>
      </c>
      <c r="M65">
        <f>Titanic_raw!K65</f>
        <v>0</v>
      </c>
      <c r="N65" t="str">
        <f>IF(Titanic_raw!L65="S","Southampton",IF(Titanic_raw!L65="Q","Queenstown",IF(Titanic_raw!L65="C","Cherbourg")))</f>
        <v>Queenstown</v>
      </c>
    </row>
    <row r="66" spans="1:22" x14ac:dyDescent="0.2">
      <c r="A66" s="18">
        <f>Titanic_raw!A66</f>
        <v>956</v>
      </c>
      <c r="B66" s="17">
        <f>Titanic_raw!B66</f>
        <v>0</v>
      </c>
      <c r="C66" s="17" t="str">
        <f t="shared" ref="C66:C129" si="1">IF(B66=0,"Dead","Survived")</f>
        <v>Dead</v>
      </c>
      <c r="D66" s="17" t="str">
        <f>CONCATENATE(Titanic_raw!C66, " Class")</f>
        <v>1 Class</v>
      </c>
      <c r="E66" s="19" t="str">
        <f>INDEX(tbl_passenger[Full Name],MATCH(A66,tbl_passenger[PassengerId],0))</f>
        <v>Master. John Borie Ryerson</v>
      </c>
      <c r="F66" t="str">
        <f>INDEX(tbl_passenger[Sex],MATCH(A66,tbl_passenger[PassengerId],0))</f>
        <v>Male</v>
      </c>
      <c r="G66" t="str">
        <f>IF(tbl_figures[Age]&lt;20, "Teens (0-19)", IF(tbl_figures[Age] &lt;40, "Youth (20-39)", IF(tbl_figures[Age]&lt;60, "Adult (40-59)", IF(tbl_figures[Age]&gt;=60, "Elders (60-Above)"))))</f>
        <v>Teens (0-19)</v>
      </c>
      <c r="H66" s="25">
        <f>IF(ISBLANK(Titanic_raw!F66),$C$423,Titanic_raw!F66)</f>
        <v>13</v>
      </c>
      <c r="I66">
        <f>Titanic_raw!G66</f>
        <v>2</v>
      </c>
      <c r="J66">
        <f>Titanic_raw!H66</f>
        <v>2</v>
      </c>
      <c r="K66" t="str">
        <f>Titanic_raw!I66</f>
        <v>PC 17608</v>
      </c>
      <c r="L66" s="26">
        <f>IF(ISBLANK(Titanic_raw!J66),$C$427,Titanic_raw!J66)</f>
        <v>262.375</v>
      </c>
      <c r="M66" t="str">
        <f>Titanic_raw!K66</f>
        <v>B57 B59 B63 B66</v>
      </c>
      <c r="N66" t="str">
        <f>IF(Titanic_raw!L66="S","Southampton",IF(Titanic_raw!L66="Q","Queenstown",IF(Titanic_raw!L66="C","Cherbourg")))</f>
        <v>Cherbourg</v>
      </c>
    </row>
    <row r="67" spans="1:22" x14ac:dyDescent="0.2">
      <c r="A67" s="18">
        <f>Titanic_raw!A67</f>
        <v>957</v>
      </c>
      <c r="B67" s="21">
        <f>Titanic_raw!B67</f>
        <v>1</v>
      </c>
      <c r="C67" s="21" t="str">
        <f t="shared" si="1"/>
        <v>Survived</v>
      </c>
      <c r="D67" s="21" t="str">
        <f>CONCATENATE(Titanic_raw!C67, " Class")</f>
        <v>2 Class</v>
      </c>
      <c r="E67" s="23" t="str">
        <f>INDEX(tbl_passenger[Full Name],MATCH(A67,tbl_passenger[PassengerId],0))</f>
        <v>Mrs. Percy C (Mary Phyllis Elizabeth Miller) Corey</v>
      </c>
      <c r="F67" t="str">
        <f>INDEX(tbl_passenger[Sex],MATCH(A67,tbl_passenger[PassengerId],0))</f>
        <v>Female</v>
      </c>
      <c r="G67" t="str">
        <f>IF(tbl_figures[Age]&lt;20, "Teens (0-19)", IF(tbl_figures[Age] &lt;40, "Youth (20-39)", IF(tbl_figures[Age]&lt;60, "Adult (40-59)", IF(tbl_figures[Age]&gt;=60, "Elders (60-Above)"))))</f>
        <v>Youth (20-39)</v>
      </c>
      <c r="H67" s="25">
        <f>IF(ISBLANK(Titanic_raw!F67),$C$423,Titanic_raw!F67)</f>
        <v>30.272590325616491</v>
      </c>
      <c r="I67">
        <f>Titanic_raw!G67</f>
        <v>0</v>
      </c>
      <c r="J67">
        <f>Titanic_raw!H67</f>
        <v>0</v>
      </c>
      <c r="K67" t="str">
        <f>Titanic_raw!I67</f>
        <v>F.C.C. 13534</v>
      </c>
      <c r="L67" s="26">
        <f>IF(ISBLANK(Titanic_raw!J67),$C$427,Titanic_raw!J67)</f>
        <v>21</v>
      </c>
      <c r="M67">
        <f>Titanic_raw!K67</f>
        <v>0</v>
      </c>
      <c r="N67" t="str">
        <f>IF(Titanic_raw!L67="S","Southampton",IF(Titanic_raw!L67="Q","Queenstown",IF(Titanic_raw!L67="C","Cherbourg")))</f>
        <v>Southampton</v>
      </c>
    </row>
    <row r="68" spans="1:22" x14ac:dyDescent="0.2">
      <c r="A68" s="18">
        <f>Titanic_raw!A68</f>
        <v>958</v>
      </c>
      <c r="B68" s="17">
        <f>Titanic_raw!B68</f>
        <v>1</v>
      </c>
      <c r="C68" s="17" t="str">
        <f t="shared" si="1"/>
        <v>Survived</v>
      </c>
      <c r="D68" s="17" t="str">
        <f>CONCATENATE(Titanic_raw!C68, " Class")</f>
        <v>3 Class</v>
      </c>
      <c r="E68" s="19" t="str">
        <f>INDEX(tbl_passenger[Full Name],MATCH(A68,tbl_passenger[PassengerId],0))</f>
        <v>Miss. Mary Delia Burns</v>
      </c>
      <c r="F68" t="str">
        <f>INDEX(tbl_passenger[Sex],MATCH(A68,tbl_passenger[PassengerId],0))</f>
        <v>Female</v>
      </c>
      <c r="G68" t="str">
        <f>IF(tbl_figures[Age]&lt;20, "Teens (0-19)", IF(tbl_figures[Age] &lt;40, "Youth (20-39)", IF(tbl_figures[Age]&lt;60, "Adult (40-59)", IF(tbl_figures[Age]&gt;=60, "Elders (60-Above)"))))</f>
        <v>Teens (0-19)</v>
      </c>
      <c r="H68" s="25">
        <f>IF(ISBLANK(Titanic_raw!F68),$C$423,Titanic_raw!F68)</f>
        <v>18</v>
      </c>
      <c r="I68">
        <f>Titanic_raw!G68</f>
        <v>0</v>
      </c>
      <c r="J68">
        <f>Titanic_raw!H68</f>
        <v>0</v>
      </c>
      <c r="K68">
        <f>Titanic_raw!I68</f>
        <v>330963</v>
      </c>
      <c r="L68" s="26">
        <f>IF(ISBLANK(Titanic_raw!J68),$C$427,Titanic_raw!J68)</f>
        <v>7.8792</v>
      </c>
      <c r="M68">
        <f>Titanic_raw!K68</f>
        <v>0</v>
      </c>
      <c r="N68" t="str">
        <f>IF(Titanic_raw!L68="S","Southampton",IF(Titanic_raw!L68="Q","Queenstown",IF(Titanic_raw!L68="C","Cherbourg")))</f>
        <v>Queenstown</v>
      </c>
    </row>
    <row r="69" spans="1:22" x14ac:dyDescent="0.2">
      <c r="A69" s="18">
        <f>Titanic_raw!A69</f>
        <v>959</v>
      </c>
      <c r="B69" s="21">
        <f>Titanic_raw!B69</f>
        <v>0</v>
      </c>
      <c r="C69" s="21" t="str">
        <f t="shared" si="1"/>
        <v>Dead</v>
      </c>
      <c r="D69" s="21" t="str">
        <f>CONCATENATE(Titanic_raw!C69, " Class")</f>
        <v>1 Class</v>
      </c>
      <c r="E69" s="23" t="str">
        <f>INDEX(tbl_passenger[Full Name],MATCH(A69,tbl_passenger[PassengerId],0))</f>
        <v>Mr. Clarence Bloomfield Moore</v>
      </c>
      <c r="F69" t="str">
        <f>INDEX(tbl_passenger[Sex],MATCH(A69,tbl_passenger[PassengerId],0))</f>
        <v>Male</v>
      </c>
      <c r="G69" t="str">
        <f>IF(tbl_figures[Age]&lt;20, "Teens (0-19)", IF(tbl_figures[Age] &lt;40, "Youth (20-39)", IF(tbl_figures[Age]&lt;60, "Adult (40-59)", IF(tbl_figures[Age]&gt;=60, "Elders (60-Above)"))))</f>
        <v>Adult (40-59)</v>
      </c>
      <c r="H69" s="25">
        <f>IF(ISBLANK(Titanic_raw!F69),$C$423,Titanic_raw!F69)</f>
        <v>47</v>
      </c>
      <c r="I69">
        <f>Titanic_raw!G69</f>
        <v>0</v>
      </c>
      <c r="J69">
        <f>Titanic_raw!H69</f>
        <v>0</v>
      </c>
      <c r="K69">
        <f>Titanic_raw!I69</f>
        <v>113796</v>
      </c>
      <c r="L69" s="26">
        <f>IF(ISBLANK(Titanic_raw!J69),$C$427,Titanic_raw!J69)</f>
        <v>42.4</v>
      </c>
      <c r="M69">
        <f>Titanic_raw!K69</f>
        <v>0</v>
      </c>
      <c r="N69" t="str">
        <f>IF(Titanic_raw!L69="S","Southampton",IF(Titanic_raw!L69="Q","Queenstown",IF(Titanic_raw!L69="C","Cherbourg")))</f>
        <v>Southampton</v>
      </c>
      <c r="U69" t="s">
        <v>664</v>
      </c>
    </row>
    <row r="70" spans="1:22" x14ac:dyDescent="0.2">
      <c r="A70" s="18">
        <f>Titanic_raw!A70</f>
        <v>960</v>
      </c>
      <c r="B70" s="17">
        <f>Titanic_raw!B70</f>
        <v>0</v>
      </c>
      <c r="C70" s="17" t="str">
        <f t="shared" si="1"/>
        <v>Dead</v>
      </c>
      <c r="D70" s="17" t="str">
        <f>CONCATENATE(Titanic_raw!C70, " Class")</f>
        <v>1 Class</v>
      </c>
      <c r="E70" s="19" t="str">
        <f>INDEX(tbl_passenger[Full Name],MATCH(A70,tbl_passenger[PassengerId],0))</f>
        <v>Mr. Gilbert Milligan Jr Tucker</v>
      </c>
      <c r="F70" t="str">
        <f>INDEX(tbl_passenger[Sex],MATCH(A70,tbl_passenger[PassengerId],0))</f>
        <v>Male</v>
      </c>
      <c r="G70" t="str">
        <f>IF(tbl_figures[Age]&lt;20, "Teens (0-19)", IF(tbl_figures[Age] &lt;40, "Youth (20-39)", IF(tbl_figures[Age]&lt;60, "Adult (40-59)", IF(tbl_figures[Age]&gt;=60, "Elders (60-Above)"))))</f>
        <v>Youth (20-39)</v>
      </c>
      <c r="H70" s="25">
        <f>IF(ISBLANK(Titanic_raw!F70),$C$423,Titanic_raw!F70)</f>
        <v>31</v>
      </c>
      <c r="I70">
        <f>Titanic_raw!G70</f>
        <v>0</v>
      </c>
      <c r="J70">
        <f>Titanic_raw!H70</f>
        <v>0</v>
      </c>
      <c r="K70">
        <f>Titanic_raw!I70</f>
        <v>2543</v>
      </c>
      <c r="L70" s="26">
        <f>IF(ISBLANK(Titanic_raw!J70),$C$427,Titanic_raw!J70)</f>
        <v>28.537500000000001</v>
      </c>
      <c r="M70" t="str">
        <f>Titanic_raw!K70</f>
        <v>C53</v>
      </c>
      <c r="N70" t="str">
        <f>IF(Titanic_raw!L70="S","Southampton",IF(Titanic_raw!L70="Q","Queenstown",IF(Titanic_raw!L70="C","Cherbourg")))</f>
        <v>Cherbourg</v>
      </c>
      <c r="U70" t="s">
        <v>657</v>
      </c>
    </row>
    <row r="71" spans="1:22" x14ac:dyDescent="0.2">
      <c r="A71" s="18">
        <f>Titanic_raw!A71</f>
        <v>961</v>
      </c>
      <c r="B71" s="21">
        <f>Titanic_raw!B71</f>
        <v>1</v>
      </c>
      <c r="C71" s="21" t="str">
        <f t="shared" si="1"/>
        <v>Survived</v>
      </c>
      <c r="D71" s="21" t="str">
        <f>CONCATENATE(Titanic_raw!C71, " Class")</f>
        <v>1 Class</v>
      </c>
      <c r="E71" s="23" t="str">
        <f>INDEX(tbl_passenger[Full Name],MATCH(A71,tbl_passenger[PassengerId],0))</f>
        <v>Mrs. Mark (Mary McDougald) Fortune</v>
      </c>
      <c r="F71" t="str">
        <f>INDEX(tbl_passenger[Sex],MATCH(A71,tbl_passenger[PassengerId],0))</f>
        <v>Female</v>
      </c>
      <c r="G71" t="str">
        <f>IF(tbl_figures[Age]&lt;20, "Teens (0-19)", IF(tbl_figures[Age] &lt;40, "Youth (20-39)", IF(tbl_figures[Age]&lt;60, "Adult (40-59)", IF(tbl_figures[Age]&gt;=60, "Elders (60-Above)"))))</f>
        <v>Elders (60-Above)</v>
      </c>
      <c r="H71" s="25">
        <f>IF(ISBLANK(Titanic_raw!F71),$C$423,Titanic_raw!F71)</f>
        <v>60</v>
      </c>
      <c r="I71">
        <f>Titanic_raw!G71</f>
        <v>1</v>
      </c>
      <c r="J71">
        <f>Titanic_raw!H71</f>
        <v>4</v>
      </c>
      <c r="K71">
        <f>Titanic_raw!I71</f>
        <v>19950</v>
      </c>
      <c r="L71" s="26">
        <f>IF(ISBLANK(Titanic_raw!J71),$C$427,Titanic_raw!J71)</f>
        <v>263</v>
      </c>
      <c r="M71" t="str">
        <f>Titanic_raw!K71</f>
        <v>C23 C25 C27</v>
      </c>
      <c r="N71" t="str">
        <f>IF(Titanic_raw!L71="S","Southampton",IF(Titanic_raw!L71="Q","Queenstown",IF(Titanic_raw!L71="C","Cherbourg")))</f>
        <v>Southampton</v>
      </c>
    </row>
    <row r="72" spans="1:22" x14ac:dyDescent="0.2">
      <c r="A72" s="18">
        <f>Titanic_raw!A72</f>
        <v>962</v>
      </c>
      <c r="B72" s="17">
        <f>Titanic_raw!B72</f>
        <v>1</v>
      </c>
      <c r="C72" s="17" t="str">
        <f t="shared" si="1"/>
        <v>Survived</v>
      </c>
      <c r="D72" s="17" t="str">
        <f>CONCATENATE(Titanic_raw!C72, " Class")</f>
        <v>3 Class</v>
      </c>
      <c r="E72" s="19" t="str">
        <f>INDEX(tbl_passenger[Full Name],MATCH(A72,tbl_passenger[PassengerId],0))</f>
        <v>Miss. Bertha E Mulvihill</v>
      </c>
      <c r="F72" t="str">
        <f>INDEX(tbl_passenger[Sex],MATCH(A72,tbl_passenger[PassengerId],0))</f>
        <v>Female</v>
      </c>
      <c r="G72" t="str">
        <f>IF(tbl_figures[Age]&lt;20, "Teens (0-19)", IF(tbl_figures[Age] &lt;40, "Youth (20-39)", IF(tbl_figures[Age]&lt;60, "Adult (40-59)", IF(tbl_figures[Age]&gt;=60, "Elders (60-Above)"))))</f>
        <v>Youth (20-39)</v>
      </c>
      <c r="H72" s="25">
        <f>IF(ISBLANK(Titanic_raw!F72),$C$423,Titanic_raw!F72)</f>
        <v>24</v>
      </c>
      <c r="I72">
        <f>Titanic_raw!G72</f>
        <v>0</v>
      </c>
      <c r="J72">
        <f>Titanic_raw!H72</f>
        <v>0</v>
      </c>
      <c r="K72">
        <f>Titanic_raw!I72</f>
        <v>382653</v>
      </c>
      <c r="L72" s="26">
        <f>IF(ISBLANK(Titanic_raw!J72),$C$427,Titanic_raw!J72)</f>
        <v>7.75</v>
      </c>
      <c r="M72">
        <f>Titanic_raw!K72</f>
        <v>0</v>
      </c>
      <c r="N72" t="str">
        <f>IF(Titanic_raw!L72="S","Southampton",IF(Titanic_raw!L72="Q","Queenstown",IF(Titanic_raw!L72="C","Cherbourg")))</f>
        <v>Queenstown</v>
      </c>
    </row>
    <row r="73" spans="1:22" x14ac:dyDescent="0.2">
      <c r="A73" s="18">
        <f>Titanic_raw!A73</f>
        <v>963</v>
      </c>
      <c r="B73" s="21">
        <f>Titanic_raw!B73</f>
        <v>0</v>
      </c>
      <c r="C73" s="21" t="str">
        <f t="shared" si="1"/>
        <v>Dead</v>
      </c>
      <c r="D73" s="21" t="str">
        <f>CONCATENATE(Titanic_raw!C73, " Class")</f>
        <v>3 Class</v>
      </c>
      <c r="E73" s="23" t="str">
        <f>INDEX(tbl_passenger[Full Name],MATCH(A73,tbl_passenger[PassengerId],0))</f>
        <v>Mr. Lazar Minkoff</v>
      </c>
      <c r="F73" t="str">
        <f>INDEX(tbl_passenger[Sex],MATCH(A73,tbl_passenger[PassengerId],0))</f>
        <v>Male</v>
      </c>
      <c r="G73" t="str">
        <f>IF(tbl_figures[Age]&lt;20, "Teens (0-19)", IF(tbl_figures[Age] &lt;40, "Youth (20-39)", IF(tbl_figures[Age]&lt;60, "Adult (40-59)", IF(tbl_figures[Age]&gt;=60, "Elders (60-Above)"))))</f>
        <v>Youth (20-39)</v>
      </c>
      <c r="H73" s="25">
        <f>IF(ISBLANK(Titanic_raw!F73),$C$423,Titanic_raw!F73)</f>
        <v>21</v>
      </c>
      <c r="I73">
        <f>Titanic_raw!G73</f>
        <v>0</v>
      </c>
      <c r="J73">
        <f>Titanic_raw!H73</f>
        <v>0</v>
      </c>
      <c r="K73">
        <f>Titanic_raw!I73</f>
        <v>349211</v>
      </c>
      <c r="L73" s="26">
        <f>IF(ISBLANK(Titanic_raw!J73),$C$427,Titanic_raw!J73)</f>
        <v>7.8958000000000004</v>
      </c>
      <c r="M73">
        <f>Titanic_raw!K73</f>
        <v>0</v>
      </c>
      <c r="N73" t="str">
        <f>IF(Titanic_raw!L73="S","Southampton",IF(Titanic_raw!L73="Q","Queenstown",IF(Titanic_raw!L73="C","Cherbourg")))</f>
        <v>Southampton</v>
      </c>
    </row>
    <row r="74" spans="1:22" x14ac:dyDescent="0.2">
      <c r="A74" s="18">
        <f>Titanic_raw!A74</f>
        <v>964</v>
      </c>
      <c r="B74" s="17">
        <f>Titanic_raw!B74</f>
        <v>1</v>
      </c>
      <c r="C74" s="17" t="str">
        <f t="shared" si="1"/>
        <v>Survived</v>
      </c>
      <c r="D74" s="17" t="str">
        <f>CONCATENATE(Titanic_raw!C74, " Class")</f>
        <v>3 Class</v>
      </c>
      <c r="E74" s="19" t="str">
        <f>INDEX(tbl_passenger[Full Name],MATCH(A74,tbl_passenger[PassengerId],0))</f>
        <v>Miss. Manta Josefina Nieminen</v>
      </c>
      <c r="F74" t="str">
        <f>INDEX(tbl_passenger[Sex],MATCH(A74,tbl_passenger[PassengerId],0))</f>
        <v>Female</v>
      </c>
      <c r="G74" t="str">
        <f>IF(tbl_figures[Age]&lt;20, "Teens (0-19)", IF(tbl_figures[Age] &lt;40, "Youth (20-39)", IF(tbl_figures[Age]&lt;60, "Adult (40-59)", IF(tbl_figures[Age]&gt;=60, "Elders (60-Above)"))))</f>
        <v>Youth (20-39)</v>
      </c>
      <c r="H74" s="25">
        <f>IF(ISBLANK(Titanic_raw!F74),$C$423,Titanic_raw!F74)</f>
        <v>29</v>
      </c>
      <c r="I74">
        <f>Titanic_raw!G74</f>
        <v>0</v>
      </c>
      <c r="J74">
        <f>Titanic_raw!H74</f>
        <v>0</v>
      </c>
      <c r="K74">
        <f>Titanic_raw!I74</f>
        <v>3101297</v>
      </c>
      <c r="L74" s="26">
        <f>IF(ISBLANK(Titanic_raw!J74),$C$427,Titanic_raw!J74)</f>
        <v>7.9249999999999998</v>
      </c>
      <c r="M74">
        <f>Titanic_raw!K74</f>
        <v>0</v>
      </c>
      <c r="N74" t="str">
        <f>IF(Titanic_raw!L74="S","Southampton",IF(Titanic_raw!L74="Q","Queenstown",IF(Titanic_raw!L74="C","Cherbourg")))</f>
        <v>Southampton</v>
      </c>
    </row>
    <row r="75" spans="1:22" x14ac:dyDescent="0.2">
      <c r="A75" s="18">
        <f>Titanic_raw!A75</f>
        <v>965</v>
      </c>
      <c r="B75" s="21">
        <f>Titanic_raw!B75</f>
        <v>0</v>
      </c>
      <c r="C75" s="21" t="str">
        <f t="shared" si="1"/>
        <v>Dead</v>
      </c>
      <c r="D75" s="21" t="str">
        <f>CONCATENATE(Titanic_raw!C75, " Class")</f>
        <v>1 Class</v>
      </c>
      <c r="E75" s="23" t="str">
        <f>INDEX(tbl_passenger[Full Name],MATCH(A75,tbl_passenger[PassengerId],0))</f>
        <v>Mr. Servando Ovies y Rodriguez</v>
      </c>
      <c r="F75" t="str">
        <f>INDEX(tbl_passenger[Sex],MATCH(A75,tbl_passenger[PassengerId],0))</f>
        <v>Male</v>
      </c>
      <c r="G75" t="str">
        <f>IF(tbl_figures[Age]&lt;20, "Teens (0-19)", IF(tbl_figures[Age] &lt;40, "Youth (20-39)", IF(tbl_figures[Age]&lt;60, "Adult (40-59)", IF(tbl_figures[Age]&gt;=60, "Elders (60-Above)"))))</f>
        <v>Youth (20-39)</v>
      </c>
      <c r="H75" s="25">
        <f>IF(ISBLANK(Titanic_raw!F75),$C$423,Titanic_raw!F75)</f>
        <v>28.5</v>
      </c>
      <c r="I75">
        <f>Titanic_raw!G75</f>
        <v>0</v>
      </c>
      <c r="J75">
        <f>Titanic_raw!H75</f>
        <v>0</v>
      </c>
      <c r="K75" t="str">
        <f>Titanic_raw!I75</f>
        <v>PC 17562</v>
      </c>
      <c r="L75" s="26">
        <f>IF(ISBLANK(Titanic_raw!J75),$C$427,Titanic_raw!J75)</f>
        <v>27.720800000000001</v>
      </c>
      <c r="M75" t="str">
        <f>Titanic_raw!K75</f>
        <v>D43</v>
      </c>
      <c r="N75" t="str">
        <f>IF(Titanic_raw!L75="S","Southampton",IF(Titanic_raw!L75="Q","Queenstown",IF(Titanic_raw!L75="C","Cherbourg")))</f>
        <v>Cherbourg</v>
      </c>
    </row>
    <row r="76" spans="1:22" x14ac:dyDescent="0.2">
      <c r="A76" s="18">
        <f>Titanic_raw!A76</f>
        <v>966</v>
      </c>
      <c r="B76" s="17">
        <f>Titanic_raw!B76</f>
        <v>1</v>
      </c>
      <c r="C76" s="17" t="str">
        <f t="shared" si="1"/>
        <v>Survived</v>
      </c>
      <c r="D76" s="17" t="str">
        <f>CONCATENATE(Titanic_raw!C76, " Class")</f>
        <v>1 Class</v>
      </c>
      <c r="E76" s="19" t="str">
        <f>INDEX(tbl_passenger[Full Name],MATCH(A76,tbl_passenger[PassengerId],0))</f>
        <v>Miss. Amalie Geiger</v>
      </c>
      <c r="F76" t="str">
        <f>INDEX(tbl_passenger[Sex],MATCH(A76,tbl_passenger[PassengerId],0))</f>
        <v>Female</v>
      </c>
      <c r="G76" t="str">
        <f>IF(tbl_figures[Age]&lt;20, "Teens (0-19)", IF(tbl_figures[Age] &lt;40, "Youth (20-39)", IF(tbl_figures[Age]&lt;60, "Adult (40-59)", IF(tbl_figures[Age]&gt;=60, "Elders (60-Above)"))))</f>
        <v>Youth (20-39)</v>
      </c>
      <c r="H76" s="25">
        <f>IF(ISBLANK(Titanic_raw!F76),$C$423,Titanic_raw!F76)</f>
        <v>35</v>
      </c>
      <c r="I76">
        <f>Titanic_raw!G76</f>
        <v>0</v>
      </c>
      <c r="J76">
        <f>Titanic_raw!H76</f>
        <v>0</v>
      </c>
      <c r="K76">
        <f>Titanic_raw!I76</f>
        <v>113503</v>
      </c>
      <c r="L76" s="26">
        <f>IF(ISBLANK(Titanic_raw!J76),$C$427,Titanic_raw!J76)</f>
        <v>211.5</v>
      </c>
      <c r="M76" t="str">
        <f>Titanic_raw!K76</f>
        <v>C130</v>
      </c>
      <c r="N76" t="str">
        <f>IF(Titanic_raw!L76="S","Southampton",IF(Titanic_raw!L76="Q","Queenstown",IF(Titanic_raw!L76="C","Cherbourg")))</f>
        <v>Cherbourg</v>
      </c>
      <c r="T76" t="s">
        <v>625</v>
      </c>
      <c r="U76" s="5" t="s">
        <v>630</v>
      </c>
      <c r="V76" t="s">
        <v>633</v>
      </c>
    </row>
    <row r="77" spans="1:22" x14ac:dyDescent="0.2">
      <c r="A77" s="18">
        <f>Titanic_raw!A77</f>
        <v>967</v>
      </c>
      <c r="B77" s="21">
        <f>Titanic_raw!B77</f>
        <v>0</v>
      </c>
      <c r="C77" s="21" t="str">
        <f t="shared" si="1"/>
        <v>Dead</v>
      </c>
      <c r="D77" s="21" t="str">
        <f>CONCATENATE(Titanic_raw!C77, " Class")</f>
        <v>1 Class</v>
      </c>
      <c r="E77" s="23" t="str">
        <f>INDEX(tbl_passenger[Full Name],MATCH(A77,tbl_passenger[PassengerId],0))</f>
        <v>Mr. Edwin Keeping</v>
      </c>
      <c r="F77" t="str">
        <f>INDEX(tbl_passenger[Sex],MATCH(A77,tbl_passenger[PassengerId],0))</f>
        <v>Male</v>
      </c>
      <c r="G77" t="str">
        <f>IF(tbl_figures[Age]&lt;20, "Teens (0-19)", IF(tbl_figures[Age] &lt;40, "Youth (20-39)", IF(tbl_figures[Age]&lt;60, "Adult (40-59)", IF(tbl_figures[Age]&gt;=60, "Elders (60-Above)"))))</f>
        <v>Youth (20-39)</v>
      </c>
      <c r="H77" s="25">
        <f>IF(ISBLANK(Titanic_raw!F77),$C$423,Titanic_raw!F77)</f>
        <v>32.5</v>
      </c>
      <c r="I77">
        <f>Titanic_raw!G77</f>
        <v>0</v>
      </c>
      <c r="J77">
        <f>Titanic_raw!H77</f>
        <v>0</v>
      </c>
      <c r="K77">
        <f>Titanic_raw!I77</f>
        <v>113503</v>
      </c>
      <c r="L77" s="26">
        <f>IF(ISBLANK(Titanic_raw!J77),$C$427,Titanic_raw!J77)</f>
        <v>211.5</v>
      </c>
      <c r="M77" t="str">
        <f>Titanic_raw!K77</f>
        <v>C132</v>
      </c>
      <c r="N77" t="str">
        <f>IF(Titanic_raw!L77="S","Southampton",IF(Titanic_raw!L77="Q","Queenstown",IF(Titanic_raw!L77="C","Cherbourg")))</f>
        <v>Cherbourg</v>
      </c>
      <c r="U77" s="6">
        <v>5</v>
      </c>
      <c r="V77" s="4">
        <v>1</v>
      </c>
    </row>
    <row r="78" spans="1:22" x14ac:dyDescent="0.2">
      <c r="A78" s="18">
        <f>Titanic_raw!A78</f>
        <v>968</v>
      </c>
      <c r="B78" s="17">
        <f>Titanic_raw!B78</f>
        <v>0</v>
      </c>
      <c r="C78" s="17" t="str">
        <f t="shared" si="1"/>
        <v>Dead</v>
      </c>
      <c r="D78" s="17" t="str">
        <f>CONCATENATE(Titanic_raw!C78, " Class")</f>
        <v>3 Class</v>
      </c>
      <c r="E78" s="19" t="str">
        <f>INDEX(tbl_passenger[Full Name],MATCH(A78,tbl_passenger[PassengerId],0))</f>
        <v>Mr. Frank Miles</v>
      </c>
      <c r="F78" t="str">
        <f>INDEX(tbl_passenger[Sex],MATCH(A78,tbl_passenger[PassengerId],0))</f>
        <v>Male</v>
      </c>
      <c r="G78" t="str">
        <f>IF(tbl_figures[Age]&lt;20, "Teens (0-19)", IF(tbl_figures[Age] &lt;40, "Youth (20-39)", IF(tbl_figures[Age]&lt;60, "Adult (40-59)", IF(tbl_figures[Age]&gt;=60, "Elders (60-Above)"))))</f>
        <v>Youth (20-39)</v>
      </c>
      <c r="H78" s="25">
        <f>IF(ISBLANK(Titanic_raw!F78),$C$423,Titanic_raw!F78)</f>
        <v>30.272590325616491</v>
      </c>
      <c r="I78">
        <f>Titanic_raw!G78</f>
        <v>0</v>
      </c>
      <c r="J78">
        <f>Titanic_raw!H78</f>
        <v>0</v>
      </c>
      <c r="K78">
        <f>Titanic_raw!I78</f>
        <v>359306</v>
      </c>
      <c r="L78" s="26">
        <f>IF(ISBLANK(Titanic_raw!J78),$C$427,Titanic_raw!J78)</f>
        <v>8.0500000000000007</v>
      </c>
      <c r="M78">
        <f>Titanic_raw!K78</f>
        <v>0</v>
      </c>
      <c r="N78" t="str">
        <f>IF(Titanic_raw!L78="S","Southampton",IF(Titanic_raw!L78="Q","Queenstown",IF(Titanic_raw!L78="C","Cherbourg")))</f>
        <v>Southampton</v>
      </c>
      <c r="U78" s="6">
        <v>8</v>
      </c>
      <c r="V78" s="4">
        <v>2</v>
      </c>
    </row>
    <row r="79" spans="1:22" x14ac:dyDescent="0.2">
      <c r="A79" s="18">
        <f>Titanic_raw!A79</f>
        <v>969</v>
      </c>
      <c r="B79" s="21">
        <f>Titanic_raw!B79</f>
        <v>1</v>
      </c>
      <c r="C79" s="21" t="str">
        <f t="shared" si="1"/>
        <v>Survived</v>
      </c>
      <c r="D79" s="21" t="str">
        <f>CONCATENATE(Titanic_raw!C79, " Class")</f>
        <v>1 Class</v>
      </c>
      <c r="E79" s="23" t="str">
        <f>INDEX(tbl_passenger[Full Name],MATCH(A79,tbl_passenger[PassengerId],0))</f>
        <v>Mrs. Robert Clifford (Malvina Helen Lamson) Cornell</v>
      </c>
      <c r="F79" t="str">
        <f>INDEX(tbl_passenger[Sex],MATCH(A79,tbl_passenger[PassengerId],0))</f>
        <v>Female</v>
      </c>
      <c r="G79" t="str">
        <f>IF(tbl_figures[Age]&lt;20, "Teens (0-19)", IF(tbl_figures[Age] &lt;40, "Youth (20-39)", IF(tbl_figures[Age]&lt;60, "Adult (40-59)", IF(tbl_figures[Age]&gt;=60, "Elders (60-Above)"))))</f>
        <v>Adult (40-59)</v>
      </c>
      <c r="H79" s="25">
        <f>IF(ISBLANK(Titanic_raw!F79),$C$423,Titanic_raw!F79)</f>
        <v>55</v>
      </c>
      <c r="I79">
        <f>Titanic_raw!G79</f>
        <v>2</v>
      </c>
      <c r="J79">
        <f>Titanic_raw!H79</f>
        <v>0</v>
      </c>
      <c r="K79">
        <f>Titanic_raw!I79</f>
        <v>11770</v>
      </c>
      <c r="L79" s="26">
        <f>IF(ISBLANK(Titanic_raw!J79),$C$427,Titanic_raw!J79)</f>
        <v>25.7</v>
      </c>
      <c r="M79" t="str">
        <f>Titanic_raw!K79</f>
        <v>C101</v>
      </c>
      <c r="N79" t="str">
        <f>IF(Titanic_raw!L79="S","Southampton",IF(Titanic_raw!L79="Q","Queenstown",IF(Titanic_raw!L79="C","Cherbourg")))</f>
        <v>Southampton</v>
      </c>
      <c r="U79" s="6">
        <v>3</v>
      </c>
      <c r="V79" s="4">
        <v>4</v>
      </c>
    </row>
    <row r="80" spans="1:22" x14ac:dyDescent="0.2">
      <c r="A80" s="18">
        <f>Titanic_raw!A80</f>
        <v>970</v>
      </c>
      <c r="B80" s="17">
        <f>Titanic_raw!B80</f>
        <v>0</v>
      </c>
      <c r="C80" s="17" t="str">
        <f t="shared" si="1"/>
        <v>Dead</v>
      </c>
      <c r="D80" s="17" t="str">
        <f>CONCATENATE(Titanic_raw!C80, " Class")</f>
        <v>2 Class</v>
      </c>
      <c r="E80" s="19" t="str">
        <f>INDEX(tbl_passenger[Full Name],MATCH(A80,tbl_passenger[PassengerId],0))</f>
        <v>Mr. Charles Augustus Aldworth</v>
      </c>
      <c r="F80" t="str">
        <f>INDEX(tbl_passenger[Sex],MATCH(A80,tbl_passenger[PassengerId],0))</f>
        <v>Male</v>
      </c>
      <c r="G80" t="str">
        <f>IF(tbl_figures[Age]&lt;20, "Teens (0-19)", IF(tbl_figures[Age] &lt;40, "Youth (20-39)", IF(tbl_figures[Age]&lt;60, "Adult (40-59)", IF(tbl_figures[Age]&gt;=60, "Elders (60-Above)"))))</f>
        <v>Youth (20-39)</v>
      </c>
      <c r="H80" s="25">
        <f>IF(ISBLANK(Titanic_raw!F80),$C$423,Titanic_raw!F80)</f>
        <v>30</v>
      </c>
      <c r="I80">
        <f>Titanic_raw!G80</f>
        <v>0</v>
      </c>
      <c r="J80">
        <f>Titanic_raw!H80</f>
        <v>0</v>
      </c>
      <c r="K80">
        <f>Titanic_raw!I80</f>
        <v>248744</v>
      </c>
      <c r="L80" s="26">
        <f>IF(ISBLANK(Titanic_raw!J80),$C$427,Titanic_raw!J80)</f>
        <v>13</v>
      </c>
      <c r="M80">
        <f>Titanic_raw!K80</f>
        <v>0</v>
      </c>
      <c r="N80" t="str">
        <f>IF(Titanic_raw!L80="S","Southampton",IF(Titanic_raw!L80="Q","Queenstown",IF(Titanic_raw!L80="C","Cherbourg")))</f>
        <v>Southampton</v>
      </c>
      <c r="U80" s="6">
        <v>4</v>
      </c>
      <c r="V80" s="4">
        <v>4</v>
      </c>
    </row>
    <row r="81" spans="1:22" x14ac:dyDescent="0.2">
      <c r="A81" s="18">
        <f>Titanic_raw!A81</f>
        <v>971</v>
      </c>
      <c r="B81" s="21">
        <f>Titanic_raw!B81</f>
        <v>1</v>
      </c>
      <c r="C81" s="21" t="str">
        <f t="shared" si="1"/>
        <v>Survived</v>
      </c>
      <c r="D81" s="21" t="str">
        <f>CONCATENATE(Titanic_raw!C81, " Class")</f>
        <v>3 Class</v>
      </c>
      <c r="E81" s="23" t="str">
        <f>INDEX(tbl_passenger[Full Name],MATCH(A81,tbl_passenger[PassengerId],0))</f>
        <v>Miss. Elizabeth Doyle</v>
      </c>
      <c r="F81" t="str">
        <f>INDEX(tbl_passenger[Sex],MATCH(A81,tbl_passenger[PassengerId],0))</f>
        <v>Female</v>
      </c>
      <c r="G81" t="str">
        <f>IF(tbl_figures[Age]&lt;20, "Teens (0-19)", IF(tbl_figures[Age] &lt;40, "Youth (20-39)", IF(tbl_figures[Age]&lt;60, "Adult (40-59)", IF(tbl_figures[Age]&gt;=60, "Elders (60-Above)"))))</f>
        <v>Youth (20-39)</v>
      </c>
      <c r="H81" s="25">
        <f>IF(ISBLANK(Titanic_raw!F81),$C$423,Titanic_raw!F81)</f>
        <v>24</v>
      </c>
      <c r="I81">
        <f>Titanic_raw!G81</f>
        <v>0</v>
      </c>
      <c r="J81">
        <f>Titanic_raw!H81</f>
        <v>0</v>
      </c>
      <c r="K81">
        <f>Titanic_raw!I81</f>
        <v>368702</v>
      </c>
      <c r="L81" s="26">
        <f>IF(ISBLANK(Titanic_raw!J81),$C$427,Titanic_raw!J81)</f>
        <v>7.75</v>
      </c>
      <c r="M81">
        <f>Titanic_raw!K81</f>
        <v>0</v>
      </c>
      <c r="N81" t="str">
        <f>IF(Titanic_raw!L81="S","Southampton",IF(Titanic_raw!L81="Q","Queenstown",IF(Titanic_raw!L81="C","Cherbourg")))</f>
        <v>Queenstown</v>
      </c>
      <c r="U81" s="6">
        <v>2</v>
      </c>
      <c r="V81" s="4">
        <v>14</v>
      </c>
    </row>
    <row r="82" spans="1:22" x14ac:dyDescent="0.2">
      <c r="A82" s="18">
        <f>Titanic_raw!A82</f>
        <v>972</v>
      </c>
      <c r="B82" s="17">
        <f>Titanic_raw!B82</f>
        <v>0</v>
      </c>
      <c r="C82" s="17" t="str">
        <f t="shared" si="1"/>
        <v>Dead</v>
      </c>
      <c r="D82" s="17" t="str">
        <f>CONCATENATE(Titanic_raw!C82, " Class")</f>
        <v>3 Class</v>
      </c>
      <c r="E82" s="19" t="str">
        <f>INDEX(tbl_passenger[Full Name],MATCH(A82,tbl_passenger[PassengerId],0))</f>
        <v>Master. Akar Boulos</v>
      </c>
      <c r="F82" t="str">
        <f>INDEX(tbl_passenger[Sex],MATCH(A82,tbl_passenger[PassengerId],0))</f>
        <v>Male</v>
      </c>
      <c r="G82" t="str">
        <f>IF(tbl_figures[Age]&lt;20, "Teens (0-19)", IF(tbl_figures[Age] &lt;40, "Youth (20-39)", IF(tbl_figures[Age]&lt;60, "Adult (40-59)", IF(tbl_figures[Age]&gt;=60, "Elders (60-Above)"))))</f>
        <v>Teens (0-19)</v>
      </c>
      <c r="H82" s="25">
        <f>IF(ISBLANK(Titanic_raw!F82),$C$423,Titanic_raw!F82)</f>
        <v>6</v>
      </c>
      <c r="I82">
        <f>Titanic_raw!G82</f>
        <v>1</v>
      </c>
      <c r="J82">
        <f>Titanic_raw!H82</f>
        <v>1</v>
      </c>
      <c r="K82">
        <f>Titanic_raw!I82</f>
        <v>2678</v>
      </c>
      <c r="L82" s="26">
        <f>IF(ISBLANK(Titanic_raw!J82),$C$427,Titanic_raw!J82)</f>
        <v>15.245799999999999</v>
      </c>
      <c r="M82">
        <f>Titanic_raw!K82</f>
        <v>0</v>
      </c>
      <c r="N82" t="str">
        <f>IF(Titanic_raw!L82="S","Southampton",IF(Titanic_raw!L82="Q","Queenstown",IF(Titanic_raw!L82="C","Cherbourg")))</f>
        <v>Cherbourg</v>
      </c>
      <c r="U82" s="6">
        <v>1</v>
      </c>
      <c r="V82" s="4">
        <v>110</v>
      </c>
    </row>
    <row r="83" spans="1:22" x14ac:dyDescent="0.2">
      <c r="A83" s="18">
        <f>Titanic_raw!A83</f>
        <v>973</v>
      </c>
      <c r="B83" s="21">
        <f>Titanic_raw!B83</f>
        <v>0</v>
      </c>
      <c r="C83" s="21" t="str">
        <f t="shared" si="1"/>
        <v>Dead</v>
      </c>
      <c r="D83" s="21" t="str">
        <f>CONCATENATE(Titanic_raw!C83, " Class")</f>
        <v>1 Class</v>
      </c>
      <c r="E83" s="23" t="str">
        <f>INDEX(tbl_passenger[Full Name],MATCH(A83,tbl_passenger[PassengerId],0))</f>
        <v>Mr. Isidor Straus</v>
      </c>
      <c r="F83" t="str">
        <f>INDEX(tbl_passenger[Sex],MATCH(A83,tbl_passenger[PassengerId],0))</f>
        <v>Male</v>
      </c>
      <c r="G83" t="str">
        <f>IF(tbl_figures[Age]&lt;20, "Teens (0-19)", IF(tbl_figures[Age] &lt;40, "Youth (20-39)", IF(tbl_figures[Age]&lt;60, "Adult (40-59)", IF(tbl_figures[Age]&gt;=60, "Elders (60-Above)"))))</f>
        <v>Elders (60-Above)</v>
      </c>
      <c r="H83" s="25">
        <f>IF(ISBLANK(Titanic_raw!F83),$C$423,Titanic_raw!F83)</f>
        <v>67</v>
      </c>
      <c r="I83">
        <f>Titanic_raw!G83</f>
        <v>1</v>
      </c>
      <c r="J83">
        <f>Titanic_raw!H83</f>
        <v>0</v>
      </c>
      <c r="K83" t="str">
        <f>Titanic_raw!I83</f>
        <v>PC 17483</v>
      </c>
      <c r="L83" s="26">
        <f>IF(ISBLANK(Titanic_raw!J83),$C$427,Titanic_raw!J83)</f>
        <v>221.7792</v>
      </c>
      <c r="M83" t="str">
        <f>Titanic_raw!K83</f>
        <v>C55 C57</v>
      </c>
      <c r="N83" t="str">
        <f>IF(Titanic_raw!L83="S","Southampton",IF(Titanic_raw!L83="Q","Queenstown",IF(Titanic_raw!L83="C","Cherbourg")))</f>
        <v>Southampton</v>
      </c>
      <c r="U83" s="6" t="s">
        <v>631</v>
      </c>
      <c r="V83" s="4">
        <v>135</v>
      </c>
    </row>
    <row r="84" spans="1:22" x14ac:dyDescent="0.2">
      <c r="A84" s="18">
        <f>Titanic_raw!A84</f>
        <v>974</v>
      </c>
      <c r="B84" s="17">
        <f>Titanic_raw!B84</f>
        <v>0</v>
      </c>
      <c r="C84" s="17" t="str">
        <f t="shared" si="1"/>
        <v>Dead</v>
      </c>
      <c r="D84" s="17" t="str">
        <f>CONCATENATE(Titanic_raw!C84, " Class")</f>
        <v>1 Class</v>
      </c>
      <c r="E84" s="19" t="str">
        <f>INDEX(tbl_passenger[Full Name],MATCH(A84,tbl_passenger[PassengerId],0))</f>
        <v>Mr. Howard Brown Case</v>
      </c>
      <c r="F84" t="str">
        <f>INDEX(tbl_passenger[Sex],MATCH(A84,tbl_passenger[PassengerId],0))</f>
        <v>Male</v>
      </c>
      <c r="G84" t="str">
        <f>IF(tbl_figures[Age]&lt;20, "Teens (0-19)", IF(tbl_figures[Age] &lt;40, "Youth (20-39)", IF(tbl_figures[Age]&lt;60, "Adult (40-59)", IF(tbl_figures[Age]&gt;=60, "Elders (60-Above)"))))</f>
        <v>Adult (40-59)</v>
      </c>
      <c r="H84" s="25">
        <f>IF(ISBLANK(Titanic_raw!F84),$C$423,Titanic_raw!F84)</f>
        <v>49</v>
      </c>
      <c r="I84">
        <f>Titanic_raw!G84</f>
        <v>0</v>
      </c>
      <c r="J84">
        <f>Titanic_raw!H84</f>
        <v>0</v>
      </c>
      <c r="K84">
        <f>Titanic_raw!I84</f>
        <v>19924</v>
      </c>
      <c r="L84" s="26">
        <f>IF(ISBLANK(Titanic_raw!J84),$C$427,Titanic_raw!J84)</f>
        <v>26</v>
      </c>
      <c r="M84">
        <f>Titanic_raw!K84</f>
        <v>0</v>
      </c>
      <c r="N84" t="str">
        <f>IF(Titanic_raw!L84="S","Southampton",IF(Titanic_raw!L84="Q","Queenstown",IF(Titanic_raw!L84="C","Cherbourg")))</f>
        <v>Southampton</v>
      </c>
    </row>
    <row r="85" spans="1:22" x14ac:dyDescent="0.2">
      <c r="A85" s="18">
        <f>Titanic_raw!A85</f>
        <v>975</v>
      </c>
      <c r="B85" s="21">
        <f>Titanic_raw!B85</f>
        <v>0</v>
      </c>
      <c r="C85" s="21" t="str">
        <f t="shared" si="1"/>
        <v>Dead</v>
      </c>
      <c r="D85" s="21" t="str">
        <f>CONCATENATE(Titanic_raw!C85, " Class")</f>
        <v>3 Class</v>
      </c>
      <c r="E85" s="23" t="str">
        <f>INDEX(tbl_passenger[Full Name],MATCH(A85,tbl_passenger[PassengerId],0))</f>
        <v>Mr. Marinko Demetri</v>
      </c>
      <c r="F85" t="str">
        <f>INDEX(tbl_passenger[Sex],MATCH(A85,tbl_passenger[PassengerId],0))</f>
        <v>Male</v>
      </c>
      <c r="G85" t="str">
        <f>IF(tbl_figures[Age]&lt;20, "Teens (0-19)", IF(tbl_figures[Age] &lt;40, "Youth (20-39)", IF(tbl_figures[Age]&lt;60, "Adult (40-59)", IF(tbl_figures[Age]&gt;=60, "Elders (60-Above)"))))</f>
        <v>Youth (20-39)</v>
      </c>
      <c r="H85" s="25">
        <f>IF(ISBLANK(Titanic_raw!F85),$C$423,Titanic_raw!F85)</f>
        <v>30.272590325616491</v>
      </c>
      <c r="I85">
        <f>Titanic_raw!G85</f>
        <v>0</v>
      </c>
      <c r="J85">
        <f>Titanic_raw!H85</f>
        <v>0</v>
      </c>
      <c r="K85">
        <f>Titanic_raw!I85</f>
        <v>349238</v>
      </c>
      <c r="L85" s="26">
        <f>IF(ISBLANK(Titanic_raw!J85),$C$427,Titanic_raw!J85)</f>
        <v>7.8958000000000004</v>
      </c>
      <c r="M85">
        <f>Titanic_raw!K85</f>
        <v>0</v>
      </c>
      <c r="N85" t="str">
        <f>IF(Titanic_raw!L85="S","Southampton",IF(Titanic_raw!L85="Q","Queenstown",IF(Titanic_raw!L85="C","Cherbourg")))</f>
        <v>Southampton</v>
      </c>
    </row>
    <row r="86" spans="1:22" x14ac:dyDescent="0.2">
      <c r="A86" s="18">
        <f>Titanic_raw!A86</f>
        <v>976</v>
      </c>
      <c r="B86" s="17">
        <f>Titanic_raw!B86</f>
        <v>0</v>
      </c>
      <c r="C86" s="17" t="str">
        <f t="shared" si="1"/>
        <v>Dead</v>
      </c>
      <c r="D86" s="17" t="str">
        <f>CONCATENATE(Titanic_raw!C86, " Class")</f>
        <v>2 Class</v>
      </c>
      <c r="E86" s="19" t="str">
        <f>INDEX(tbl_passenger[Full Name],MATCH(A86,tbl_passenger[PassengerId],0))</f>
        <v>Mr. John Joseph Lamb</v>
      </c>
      <c r="F86" t="str">
        <f>INDEX(tbl_passenger[Sex],MATCH(A86,tbl_passenger[PassengerId],0))</f>
        <v>Male</v>
      </c>
      <c r="G86" t="str">
        <f>IF(tbl_figures[Age]&lt;20, "Teens (0-19)", IF(tbl_figures[Age] &lt;40, "Youth (20-39)", IF(tbl_figures[Age]&lt;60, "Adult (40-59)", IF(tbl_figures[Age]&gt;=60, "Elders (60-Above)"))))</f>
        <v>Youth (20-39)</v>
      </c>
      <c r="H86" s="25">
        <f>IF(ISBLANK(Titanic_raw!F86),$C$423,Titanic_raw!F86)</f>
        <v>30.272590325616491</v>
      </c>
      <c r="I86">
        <f>Titanic_raw!G86</f>
        <v>0</v>
      </c>
      <c r="J86">
        <f>Titanic_raw!H86</f>
        <v>0</v>
      </c>
      <c r="K86">
        <f>Titanic_raw!I86</f>
        <v>240261</v>
      </c>
      <c r="L86" s="26">
        <f>IF(ISBLANK(Titanic_raw!J86),$C$427,Titanic_raw!J86)</f>
        <v>10.708299999999999</v>
      </c>
      <c r="M86">
        <f>Titanic_raw!K86</f>
        <v>0</v>
      </c>
      <c r="N86" t="str">
        <f>IF(Titanic_raw!L86="S","Southampton",IF(Titanic_raw!L86="Q","Queenstown",IF(Titanic_raw!L86="C","Cherbourg")))</f>
        <v>Queenstown</v>
      </c>
    </row>
    <row r="87" spans="1:22" x14ac:dyDescent="0.2">
      <c r="A87" s="18">
        <f>Titanic_raw!A87</f>
        <v>977</v>
      </c>
      <c r="B87" s="21">
        <f>Titanic_raw!B87</f>
        <v>0</v>
      </c>
      <c r="C87" s="21" t="str">
        <f t="shared" si="1"/>
        <v>Dead</v>
      </c>
      <c r="D87" s="21" t="str">
        <f>CONCATENATE(Titanic_raw!C87, " Class")</f>
        <v>3 Class</v>
      </c>
      <c r="E87" s="23" t="str">
        <f>INDEX(tbl_passenger[Full Name],MATCH(A87,tbl_passenger[PassengerId],0))</f>
        <v>Mr. Betros Khalil</v>
      </c>
      <c r="F87" t="str">
        <f>INDEX(tbl_passenger[Sex],MATCH(A87,tbl_passenger[PassengerId],0))</f>
        <v>Male</v>
      </c>
      <c r="G87" t="str">
        <f>IF(tbl_figures[Age]&lt;20, "Teens (0-19)", IF(tbl_figures[Age] &lt;40, "Youth (20-39)", IF(tbl_figures[Age]&lt;60, "Adult (40-59)", IF(tbl_figures[Age]&gt;=60, "Elders (60-Above)"))))</f>
        <v>Youth (20-39)</v>
      </c>
      <c r="H87" s="25">
        <f>IF(ISBLANK(Titanic_raw!F87),$C$423,Titanic_raw!F87)</f>
        <v>30.272590325616491</v>
      </c>
      <c r="I87">
        <f>Titanic_raw!G87</f>
        <v>1</v>
      </c>
      <c r="J87">
        <f>Titanic_raw!H87</f>
        <v>0</v>
      </c>
      <c r="K87">
        <f>Titanic_raw!I87</f>
        <v>2660</v>
      </c>
      <c r="L87" s="26">
        <f>IF(ISBLANK(Titanic_raw!J87),$C$427,Titanic_raw!J87)</f>
        <v>14.4542</v>
      </c>
      <c r="M87">
        <f>Titanic_raw!K87</f>
        <v>0</v>
      </c>
      <c r="N87" t="str">
        <f>IF(Titanic_raw!L87="S","Southampton",IF(Titanic_raw!L87="Q","Queenstown",IF(Titanic_raw!L87="C","Cherbourg")))</f>
        <v>Cherbourg</v>
      </c>
    </row>
    <row r="88" spans="1:22" x14ac:dyDescent="0.2">
      <c r="A88" s="18">
        <f>Titanic_raw!A88</f>
        <v>978</v>
      </c>
      <c r="B88" s="17">
        <f>Titanic_raw!B88</f>
        <v>1</v>
      </c>
      <c r="C88" s="17" t="str">
        <f t="shared" si="1"/>
        <v>Survived</v>
      </c>
      <c r="D88" s="17" t="str">
        <f>CONCATENATE(Titanic_raw!C88, " Class")</f>
        <v>3 Class</v>
      </c>
      <c r="E88" s="19" t="str">
        <f>INDEX(tbl_passenger[Full Name],MATCH(A88,tbl_passenger[PassengerId],0))</f>
        <v>Miss. Julia Barry</v>
      </c>
      <c r="F88" t="str">
        <f>INDEX(tbl_passenger[Sex],MATCH(A88,tbl_passenger[PassengerId],0))</f>
        <v>Female</v>
      </c>
      <c r="G88" t="str">
        <f>IF(tbl_figures[Age]&lt;20, "Teens (0-19)", IF(tbl_figures[Age] &lt;40, "Youth (20-39)", IF(tbl_figures[Age]&lt;60, "Adult (40-59)", IF(tbl_figures[Age]&gt;=60, "Elders (60-Above)"))))</f>
        <v>Youth (20-39)</v>
      </c>
      <c r="H88" s="25">
        <f>IF(ISBLANK(Titanic_raw!F88),$C$423,Titanic_raw!F88)</f>
        <v>27</v>
      </c>
      <c r="I88">
        <f>Titanic_raw!G88</f>
        <v>0</v>
      </c>
      <c r="J88">
        <f>Titanic_raw!H88</f>
        <v>0</v>
      </c>
      <c r="K88">
        <f>Titanic_raw!I88</f>
        <v>330844</v>
      </c>
      <c r="L88" s="26">
        <f>IF(ISBLANK(Titanic_raw!J88),$C$427,Titanic_raw!J88)</f>
        <v>7.8792</v>
      </c>
      <c r="M88">
        <f>Titanic_raw!K88</f>
        <v>0</v>
      </c>
      <c r="N88" t="str">
        <f>IF(Titanic_raw!L88="S","Southampton",IF(Titanic_raw!L88="Q","Queenstown",IF(Titanic_raw!L88="C","Cherbourg")))</f>
        <v>Queenstown</v>
      </c>
    </row>
    <row r="89" spans="1:22" x14ac:dyDescent="0.2">
      <c r="A89" s="18">
        <f>Titanic_raw!A89</f>
        <v>979</v>
      </c>
      <c r="B89" s="21">
        <f>Titanic_raw!B89</f>
        <v>1</v>
      </c>
      <c r="C89" s="21" t="str">
        <f t="shared" si="1"/>
        <v>Survived</v>
      </c>
      <c r="D89" s="21" t="str">
        <f>CONCATENATE(Titanic_raw!C89, " Class")</f>
        <v>3 Class</v>
      </c>
      <c r="E89" s="23" t="str">
        <f>INDEX(tbl_passenger[Full Name],MATCH(A89,tbl_passenger[PassengerId],0))</f>
        <v>Miss. Emily Louisa Badman</v>
      </c>
      <c r="F89" t="str">
        <f>INDEX(tbl_passenger[Sex],MATCH(A89,tbl_passenger[PassengerId],0))</f>
        <v>Female</v>
      </c>
      <c r="G89" t="str">
        <f>IF(tbl_figures[Age]&lt;20, "Teens (0-19)", IF(tbl_figures[Age] &lt;40, "Youth (20-39)", IF(tbl_figures[Age]&lt;60, "Adult (40-59)", IF(tbl_figures[Age]&gt;=60, "Elders (60-Above)"))))</f>
        <v>Teens (0-19)</v>
      </c>
      <c r="H89" s="25">
        <f>IF(ISBLANK(Titanic_raw!F89),$C$423,Titanic_raw!F89)</f>
        <v>18</v>
      </c>
      <c r="I89">
        <f>Titanic_raw!G89</f>
        <v>0</v>
      </c>
      <c r="J89">
        <f>Titanic_raw!H89</f>
        <v>0</v>
      </c>
      <c r="K89" t="str">
        <f>Titanic_raw!I89</f>
        <v>A/4 31416</v>
      </c>
      <c r="L89" s="26">
        <f>IF(ISBLANK(Titanic_raw!J89),$C$427,Titanic_raw!J89)</f>
        <v>8.0500000000000007</v>
      </c>
      <c r="M89">
        <f>Titanic_raw!K89</f>
        <v>0</v>
      </c>
      <c r="N89" t="str">
        <f>IF(Titanic_raw!L89="S","Southampton",IF(Titanic_raw!L89="Q","Queenstown",IF(Titanic_raw!L89="C","Cherbourg")))</f>
        <v>Southampton</v>
      </c>
    </row>
    <row r="90" spans="1:22" x14ac:dyDescent="0.2">
      <c r="A90" s="18">
        <f>Titanic_raw!A90</f>
        <v>980</v>
      </c>
      <c r="B90" s="17">
        <f>Titanic_raw!B90</f>
        <v>1</v>
      </c>
      <c r="C90" s="17" t="str">
        <f t="shared" si="1"/>
        <v>Survived</v>
      </c>
      <c r="D90" s="17" t="str">
        <f>CONCATENATE(Titanic_raw!C90, " Class")</f>
        <v>3 Class</v>
      </c>
      <c r="E90" s="19" t="str">
        <f>INDEX(tbl_passenger[Full Name],MATCH(A90,tbl_passenger[PassengerId],0))</f>
        <v>Ms. Bridget O'Donoghue</v>
      </c>
      <c r="F90" t="str">
        <f>INDEX(tbl_passenger[Sex],MATCH(A90,tbl_passenger[PassengerId],0))</f>
        <v>Female</v>
      </c>
      <c r="G90" t="str">
        <f>IF(tbl_figures[Age]&lt;20, "Teens (0-19)", IF(tbl_figures[Age] &lt;40, "Youth (20-39)", IF(tbl_figures[Age]&lt;60, "Adult (40-59)", IF(tbl_figures[Age]&gt;=60, "Elders (60-Above)"))))</f>
        <v>Youth (20-39)</v>
      </c>
      <c r="H90" s="25">
        <f>IF(ISBLANK(Titanic_raw!F90),$C$423,Titanic_raw!F90)</f>
        <v>30.272590325616491</v>
      </c>
      <c r="I90">
        <f>Titanic_raw!G90</f>
        <v>0</v>
      </c>
      <c r="J90">
        <f>Titanic_raw!H90</f>
        <v>0</v>
      </c>
      <c r="K90">
        <f>Titanic_raw!I90</f>
        <v>364856</v>
      </c>
      <c r="L90" s="26">
        <f>IF(ISBLANK(Titanic_raw!J90),$C$427,Titanic_raw!J90)</f>
        <v>7.75</v>
      </c>
      <c r="M90">
        <f>Titanic_raw!K90</f>
        <v>0</v>
      </c>
      <c r="N90" t="str">
        <f>IF(Titanic_raw!L90="S","Southampton",IF(Titanic_raw!L90="Q","Queenstown",IF(Titanic_raw!L90="C","Cherbourg")))</f>
        <v>Queenstown</v>
      </c>
    </row>
    <row r="91" spans="1:22" x14ac:dyDescent="0.2">
      <c r="A91" s="18">
        <f>Titanic_raw!A91</f>
        <v>981</v>
      </c>
      <c r="B91" s="21">
        <f>Titanic_raw!B91</f>
        <v>0</v>
      </c>
      <c r="C91" s="21" t="str">
        <f t="shared" si="1"/>
        <v>Dead</v>
      </c>
      <c r="D91" s="21" t="str">
        <f>CONCATENATE(Titanic_raw!C91, " Class")</f>
        <v>2 Class</v>
      </c>
      <c r="E91" s="23" t="str">
        <f>INDEX(tbl_passenger[Full Name],MATCH(A91,tbl_passenger[PassengerId],0))</f>
        <v>Master. Ralph Lester Wells</v>
      </c>
      <c r="F91" t="str">
        <f>INDEX(tbl_passenger[Sex],MATCH(A91,tbl_passenger[PassengerId],0))</f>
        <v>Male</v>
      </c>
      <c r="G91" t="str">
        <f>IF(tbl_figures[Age]&lt;20, "Teens (0-19)", IF(tbl_figures[Age] &lt;40, "Youth (20-39)", IF(tbl_figures[Age]&lt;60, "Adult (40-59)", IF(tbl_figures[Age]&gt;=60, "Elders (60-Above)"))))</f>
        <v>Teens (0-19)</v>
      </c>
      <c r="H91" s="25">
        <f>IF(ISBLANK(Titanic_raw!F91),$C$423,Titanic_raw!F91)</f>
        <v>2</v>
      </c>
      <c r="I91">
        <f>Titanic_raw!G91</f>
        <v>1</v>
      </c>
      <c r="J91">
        <f>Titanic_raw!H91</f>
        <v>1</v>
      </c>
      <c r="K91">
        <f>Titanic_raw!I91</f>
        <v>29103</v>
      </c>
      <c r="L91" s="26">
        <f>IF(ISBLANK(Titanic_raw!J91),$C$427,Titanic_raw!J91)</f>
        <v>23</v>
      </c>
      <c r="M91">
        <f>Titanic_raw!K91</f>
        <v>0</v>
      </c>
      <c r="N91" t="str">
        <f>IF(Titanic_raw!L91="S","Southampton",IF(Titanic_raw!L91="Q","Queenstown",IF(Titanic_raw!L91="C","Cherbourg")))</f>
        <v>Southampton</v>
      </c>
    </row>
    <row r="92" spans="1:22" x14ac:dyDescent="0.2">
      <c r="A92" s="18">
        <f>Titanic_raw!A92</f>
        <v>982</v>
      </c>
      <c r="B92" s="17">
        <f>Titanic_raw!B92</f>
        <v>1</v>
      </c>
      <c r="C92" s="17" t="str">
        <f t="shared" si="1"/>
        <v>Survived</v>
      </c>
      <c r="D92" s="17" t="str">
        <f>CONCATENATE(Titanic_raw!C92, " Class")</f>
        <v>3 Class</v>
      </c>
      <c r="E92" s="19" t="str">
        <f>INDEX(tbl_passenger[Full Name],MATCH(A92,tbl_passenger[PassengerId],0))</f>
        <v>Mrs. Adolf Fredrik (Anna Elisabeth Judith Andersson) Dyker</v>
      </c>
      <c r="F92" t="str">
        <f>INDEX(tbl_passenger[Sex],MATCH(A92,tbl_passenger[PassengerId],0))</f>
        <v>Female</v>
      </c>
      <c r="G92" t="str">
        <f>IF(tbl_figures[Age]&lt;20, "Teens (0-19)", IF(tbl_figures[Age] &lt;40, "Youth (20-39)", IF(tbl_figures[Age]&lt;60, "Adult (40-59)", IF(tbl_figures[Age]&gt;=60, "Elders (60-Above)"))))</f>
        <v>Youth (20-39)</v>
      </c>
      <c r="H92" s="25">
        <f>IF(ISBLANK(Titanic_raw!F92),$C$423,Titanic_raw!F92)</f>
        <v>22</v>
      </c>
      <c r="I92">
        <f>Titanic_raw!G92</f>
        <v>1</v>
      </c>
      <c r="J92">
        <f>Titanic_raw!H92</f>
        <v>0</v>
      </c>
      <c r="K92">
        <f>Titanic_raw!I92</f>
        <v>347072</v>
      </c>
      <c r="L92" s="26">
        <f>IF(ISBLANK(Titanic_raw!J92),$C$427,Titanic_raw!J92)</f>
        <v>13.9</v>
      </c>
      <c r="M92">
        <f>Titanic_raw!K92</f>
        <v>0</v>
      </c>
      <c r="N92" t="str">
        <f>IF(Titanic_raw!L92="S","Southampton",IF(Titanic_raw!L92="Q","Queenstown",IF(Titanic_raw!L92="C","Cherbourg")))</f>
        <v>Southampton</v>
      </c>
    </row>
    <row r="93" spans="1:22" x14ac:dyDescent="0.2">
      <c r="A93" s="18">
        <f>Titanic_raw!A93</f>
        <v>983</v>
      </c>
      <c r="B93" s="21">
        <f>Titanic_raw!B93</f>
        <v>0</v>
      </c>
      <c r="C93" s="21" t="str">
        <f t="shared" si="1"/>
        <v>Dead</v>
      </c>
      <c r="D93" s="21" t="str">
        <f>CONCATENATE(Titanic_raw!C93, " Class")</f>
        <v>3 Class</v>
      </c>
      <c r="E93" s="23" t="str">
        <f>INDEX(tbl_passenger[Full Name],MATCH(A93,tbl_passenger[PassengerId],0))</f>
        <v>Mr. Olaf Pedersen</v>
      </c>
      <c r="F93" t="str">
        <f>INDEX(tbl_passenger[Sex],MATCH(A93,tbl_passenger[PassengerId],0))</f>
        <v>Male</v>
      </c>
      <c r="G93" t="str">
        <f>IF(tbl_figures[Age]&lt;20, "Teens (0-19)", IF(tbl_figures[Age] &lt;40, "Youth (20-39)", IF(tbl_figures[Age]&lt;60, "Adult (40-59)", IF(tbl_figures[Age]&gt;=60, "Elders (60-Above)"))))</f>
        <v>Youth (20-39)</v>
      </c>
      <c r="H93" s="25">
        <f>IF(ISBLANK(Titanic_raw!F93),$C$423,Titanic_raw!F93)</f>
        <v>30.272590325616491</v>
      </c>
      <c r="I93">
        <f>Titanic_raw!G93</f>
        <v>0</v>
      </c>
      <c r="J93">
        <f>Titanic_raw!H93</f>
        <v>0</v>
      </c>
      <c r="K93">
        <f>Titanic_raw!I93</f>
        <v>345498</v>
      </c>
      <c r="L93" s="26">
        <f>IF(ISBLANK(Titanic_raw!J93),$C$427,Titanic_raw!J93)</f>
        <v>7.7750000000000004</v>
      </c>
      <c r="M93">
        <f>Titanic_raw!K93</f>
        <v>0</v>
      </c>
      <c r="N93" t="str">
        <f>IF(Titanic_raw!L93="S","Southampton",IF(Titanic_raw!L93="Q","Queenstown",IF(Titanic_raw!L93="C","Cherbourg")))</f>
        <v>Southampton</v>
      </c>
    </row>
    <row r="94" spans="1:22" x14ac:dyDescent="0.2">
      <c r="A94" s="18">
        <f>Titanic_raw!A94</f>
        <v>984</v>
      </c>
      <c r="B94" s="17">
        <f>Titanic_raw!B94</f>
        <v>1</v>
      </c>
      <c r="C94" s="17" t="str">
        <f t="shared" si="1"/>
        <v>Survived</v>
      </c>
      <c r="D94" s="17" t="str">
        <f>CONCATENATE(Titanic_raw!C94, " Class")</f>
        <v>1 Class</v>
      </c>
      <c r="E94" s="19" t="str">
        <f>INDEX(tbl_passenger[Full Name],MATCH(A94,tbl_passenger[PassengerId],0))</f>
        <v>Mrs. Thornton (Orian Hays) Davidson</v>
      </c>
      <c r="F94" t="str">
        <f>INDEX(tbl_passenger[Sex],MATCH(A94,tbl_passenger[PassengerId],0))</f>
        <v>Female</v>
      </c>
      <c r="G94" t="str">
        <f>IF(tbl_figures[Age]&lt;20, "Teens (0-19)", IF(tbl_figures[Age] &lt;40, "Youth (20-39)", IF(tbl_figures[Age]&lt;60, "Adult (40-59)", IF(tbl_figures[Age]&gt;=60, "Elders (60-Above)"))))</f>
        <v>Youth (20-39)</v>
      </c>
      <c r="H94" s="25">
        <f>IF(ISBLANK(Titanic_raw!F94),$C$423,Titanic_raw!F94)</f>
        <v>27</v>
      </c>
      <c r="I94">
        <f>Titanic_raw!G94</f>
        <v>1</v>
      </c>
      <c r="J94">
        <f>Titanic_raw!H94</f>
        <v>2</v>
      </c>
      <c r="K94" t="str">
        <f>Titanic_raw!I94</f>
        <v>F.C. 12750</v>
      </c>
      <c r="L94" s="26">
        <f>IF(ISBLANK(Titanic_raw!J94),$C$427,Titanic_raw!J94)</f>
        <v>52</v>
      </c>
      <c r="M94" t="str">
        <f>Titanic_raw!K94</f>
        <v>B71</v>
      </c>
      <c r="N94" t="str">
        <f>IF(Titanic_raw!L94="S","Southampton",IF(Titanic_raw!L94="Q","Queenstown",IF(Titanic_raw!L94="C","Cherbourg")))</f>
        <v>Southampton</v>
      </c>
    </row>
    <row r="95" spans="1:22" x14ac:dyDescent="0.2">
      <c r="A95" s="18">
        <f>Titanic_raw!A95</f>
        <v>985</v>
      </c>
      <c r="B95" s="21">
        <f>Titanic_raw!B95</f>
        <v>0</v>
      </c>
      <c r="C95" s="21" t="str">
        <f t="shared" si="1"/>
        <v>Dead</v>
      </c>
      <c r="D95" s="21" t="str">
        <f>CONCATENATE(Titanic_raw!C95, " Class")</f>
        <v>3 Class</v>
      </c>
      <c r="E95" s="23" t="str">
        <f>INDEX(tbl_passenger[Full Name],MATCH(A95,tbl_passenger[PassengerId],0))</f>
        <v>Mr. Robert Guest</v>
      </c>
      <c r="F95" t="str">
        <f>INDEX(tbl_passenger[Sex],MATCH(A95,tbl_passenger[PassengerId],0))</f>
        <v>Male</v>
      </c>
      <c r="G95" t="str">
        <f>IF(tbl_figures[Age]&lt;20, "Teens (0-19)", IF(tbl_figures[Age] &lt;40, "Youth (20-39)", IF(tbl_figures[Age]&lt;60, "Adult (40-59)", IF(tbl_figures[Age]&gt;=60, "Elders (60-Above)"))))</f>
        <v>Youth (20-39)</v>
      </c>
      <c r="H95" s="25">
        <f>IF(ISBLANK(Titanic_raw!F95),$C$423,Titanic_raw!F95)</f>
        <v>30.272590325616491</v>
      </c>
      <c r="I95">
        <f>Titanic_raw!G95</f>
        <v>0</v>
      </c>
      <c r="J95">
        <f>Titanic_raw!H95</f>
        <v>0</v>
      </c>
      <c r="K95">
        <f>Titanic_raw!I95</f>
        <v>376563</v>
      </c>
      <c r="L95" s="26">
        <f>IF(ISBLANK(Titanic_raw!J95),$C$427,Titanic_raw!J95)</f>
        <v>8.0500000000000007</v>
      </c>
      <c r="M95">
        <f>Titanic_raw!K95</f>
        <v>0</v>
      </c>
      <c r="N95" t="str">
        <f>IF(Titanic_raw!L95="S","Southampton",IF(Titanic_raw!L95="Q","Queenstown",IF(Titanic_raw!L95="C","Cherbourg")))</f>
        <v>Southampton</v>
      </c>
      <c r="U95" t="s">
        <v>665</v>
      </c>
    </row>
    <row r="96" spans="1:22" x14ac:dyDescent="0.2">
      <c r="A96" s="18">
        <f>Titanic_raw!A96</f>
        <v>986</v>
      </c>
      <c r="B96" s="17">
        <f>Titanic_raw!B96</f>
        <v>0</v>
      </c>
      <c r="C96" s="17" t="str">
        <f t="shared" si="1"/>
        <v>Dead</v>
      </c>
      <c r="D96" s="17" t="str">
        <f>CONCATENATE(Titanic_raw!C96, " Class")</f>
        <v>1 Class</v>
      </c>
      <c r="E96" s="19" t="str">
        <f>INDEX(tbl_passenger[Full Name],MATCH(A96,tbl_passenger[PassengerId],0))</f>
        <v>Mr. Jakob Birnbaum</v>
      </c>
      <c r="F96" t="str">
        <f>INDEX(tbl_passenger[Sex],MATCH(A96,tbl_passenger[PassengerId],0))</f>
        <v>Male</v>
      </c>
      <c r="G96" t="str">
        <f>IF(tbl_figures[Age]&lt;20, "Teens (0-19)", IF(tbl_figures[Age] &lt;40, "Youth (20-39)", IF(tbl_figures[Age]&lt;60, "Adult (40-59)", IF(tbl_figures[Age]&gt;=60, "Elders (60-Above)"))))</f>
        <v>Youth (20-39)</v>
      </c>
      <c r="H96" s="25">
        <f>IF(ISBLANK(Titanic_raw!F96),$C$423,Titanic_raw!F96)</f>
        <v>25</v>
      </c>
      <c r="I96">
        <f>Titanic_raw!G96</f>
        <v>0</v>
      </c>
      <c r="J96">
        <f>Titanic_raw!H96</f>
        <v>0</v>
      </c>
      <c r="K96">
        <f>Titanic_raw!I96</f>
        <v>13905</v>
      </c>
      <c r="L96" s="26">
        <f>IF(ISBLANK(Titanic_raw!J96),$C$427,Titanic_raw!J96)</f>
        <v>26</v>
      </c>
      <c r="M96">
        <f>Titanic_raw!K96</f>
        <v>0</v>
      </c>
      <c r="N96" t="str">
        <f>IF(Titanic_raw!L96="S","Southampton",IF(Titanic_raw!L96="Q","Queenstown",IF(Titanic_raw!L96="C","Cherbourg")))</f>
        <v>Cherbourg</v>
      </c>
      <c r="U96" t="s">
        <v>666</v>
      </c>
    </row>
    <row r="97" spans="1:24" x14ac:dyDescent="0.2">
      <c r="A97" s="18">
        <f>Titanic_raw!A97</f>
        <v>987</v>
      </c>
      <c r="B97" s="21">
        <f>Titanic_raw!B97</f>
        <v>0</v>
      </c>
      <c r="C97" s="21" t="str">
        <f t="shared" si="1"/>
        <v>Dead</v>
      </c>
      <c r="D97" s="21" t="str">
        <f>CONCATENATE(Titanic_raw!C97, " Class")</f>
        <v>3 Class</v>
      </c>
      <c r="E97" s="23" t="str">
        <f>INDEX(tbl_passenger[Full Name],MATCH(A97,tbl_passenger[PassengerId],0))</f>
        <v>Mr. Gunnar Isidor Tenglin</v>
      </c>
      <c r="F97" t="str">
        <f>INDEX(tbl_passenger[Sex],MATCH(A97,tbl_passenger[PassengerId],0))</f>
        <v>Male</v>
      </c>
      <c r="G97" t="str">
        <f>IF(tbl_figures[Age]&lt;20, "Teens (0-19)", IF(tbl_figures[Age] &lt;40, "Youth (20-39)", IF(tbl_figures[Age]&lt;60, "Adult (40-59)", IF(tbl_figures[Age]&gt;=60, "Elders (60-Above)"))))</f>
        <v>Youth (20-39)</v>
      </c>
      <c r="H97" s="25">
        <f>IF(ISBLANK(Titanic_raw!F97),$C$423,Titanic_raw!F97)</f>
        <v>25</v>
      </c>
      <c r="I97">
        <f>Titanic_raw!G97</f>
        <v>0</v>
      </c>
      <c r="J97">
        <f>Titanic_raw!H97</f>
        <v>0</v>
      </c>
      <c r="K97">
        <f>Titanic_raw!I97</f>
        <v>350033</v>
      </c>
      <c r="L97" s="26">
        <f>IF(ISBLANK(Titanic_raw!J97),$C$427,Titanic_raw!J97)</f>
        <v>7.7957999999999998</v>
      </c>
      <c r="M97">
        <f>Titanic_raw!K97</f>
        <v>0</v>
      </c>
      <c r="N97" t="str">
        <f>IF(Titanic_raw!L97="S","Southampton",IF(Titanic_raw!L97="Q","Queenstown",IF(Titanic_raw!L97="C","Cherbourg")))</f>
        <v>Southampton</v>
      </c>
      <c r="U97" t="s">
        <v>667</v>
      </c>
    </row>
    <row r="98" spans="1:24" x14ac:dyDescent="0.2">
      <c r="A98" s="18">
        <f>Titanic_raw!A98</f>
        <v>988</v>
      </c>
      <c r="B98" s="17">
        <f>Titanic_raw!B98</f>
        <v>1</v>
      </c>
      <c r="C98" s="17" t="str">
        <f t="shared" si="1"/>
        <v>Survived</v>
      </c>
      <c r="D98" s="17" t="str">
        <f>CONCATENATE(Titanic_raw!C98, " Class")</f>
        <v>1 Class</v>
      </c>
      <c r="E98" s="19" t="str">
        <f>INDEX(tbl_passenger[Full Name],MATCH(A98,tbl_passenger[PassengerId],0))</f>
        <v>Mrs. Tyrell William (Julia Florence Siegel) Cavendish</v>
      </c>
      <c r="F98" t="str">
        <f>INDEX(tbl_passenger[Sex],MATCH(A98,tbl_passenger[PassengerId],0))</f>
        <v>Female</v>
      </c>
      <c r="G98" t="str">
        <f>IF(tbl_figures[Age]&lt;20, "Teens (0-19)", IF(tbl_figures[Age] &lt;40, "Youth (20-39)", IF(tbl_figures[Age]&lt;60, "Adult (40-59)", IF(tbl_figures[Age]&gt;=60, "Elders (60-Above)"))))</f>
        <v>Elders (60-Above)</v>
      </c>
      <c r="H98" s="25">
        <f>IF(ISBLANK(Titanic_raw!F98),$C$423,Titanic_raw!F98)</f>
        <v>76</v>
      </c>
      <c r="I98">
        <f>Titanic_raw!G98</f>
        <v>1</v>
      </c>
      <c r="J98">
        <f>Titanic_raw!H98</f>
        <v>0</v>
      </c>
      <c r="K98">
        <f>Titanic_raw!I98</f>
        <v>19877</v>
      </c>
      <c r="L98" s="26">
        <f>IF(ISBLANK(Titanic_raw!J98),$C$427,Titanic_raw!J98)</f>
        <v>78.849999999999994</v>
      </c>
      <c r="M98" t="str">
        <f>Titanic_raw!K98</f>
        <v>C46</v>
      </c>
      <c r="N98" t="str">
        <f>IF(Titanic_raw!L98="S","Southampton",IF(Titanic_raw!L98="Q","Queenstown",IF(Titanic_raw!L98="C","Cherbourg")))</f>
        <v>Southampton</v>
      </c>
      <c r="U98" t="s">
        <v>668</v>
      </c>
    </row>
    <row r="99" spans="1:24" x14ac:dyDescent="0.2">
      <c r="A99" s="18">
        <f>Titanic_raw!A99</f>
        <v>989</v>
      </c>
      <c r="B99" s="21">
        <f>Titanic_raw!B99</f>
        <v>0</v>
      </c>
      <c r="C99" s="21" t="str">
        <f t="shared" si="1"/>
        <v>Dead</v>
      </c>
      <c r="D99" s="21" t="str">
        <f>CONCATENATE(Titanic_raw!C99, " Class")</f>
        <v>3 Class</v>
      </c>
      <c r="E99" s="23" t="str">
        <f>INDEX(tbl_passenger[Full Name],MATCH(A99,tbl_passenger[PassengerId],0))</f>
        <v>Mr. Kalle Edvard Makinen</v>
      </c>
      <c r="F99" t="str">
        <f>INDEX(tbl_passenger[Sex],MATCH(A99,tbl_passenger[PassengerId],0))</f>
        <v>Male</v>
      </c>
      <c r="G99" t="str">
        <f>IF(tbl_figures[Age]&lt;20, "Teens (0-19)", IF(tbl_figures[Age] &lt;40, "Youth (20-39)", IF(tbl_figures[Age]&lt;60, "Adult (40-59)", IF(tbl_figures[Age]&gt;=60, "Elders (60-Above)"))))</f>
        <v>Youth (20-39)</v>
      </c>
      <c r="H99" s="25">
        <f>IF(ISBLANK(Titanic_raw!F99),$C$423,Titanic_raw!F99)</f>
        <v>29</v>
      </c>
      <c r="I99">
        <f>Titanic_raw!G99</f>
        <v>0</v>
      </c>
      <c r="J99">
        <f>Titanic_raw!H99</f>
        <v>0</v>
      </c>
      <c r="K99" t="str">
        <f>Titanic_raw!I99</f>
        <v>STON/O 2. 3101268</v>
      </c>
      <c r="L99" s="26">
        <f>IF(ISBLANK(Titanic_raw!J99),$C$427,Titanic_raw!J99)</f>
        <v>7.9249999999999998</v>
      </c>
      <c r="M99">
        <f>Titanic_raw!K99</f>
        <v>0</v>
      </c>
      <c r="N99" t="str">
        <f>IF(Titanic_raw!L99="S","Southampton",IF(Titanic_raw!L99="Q","Queenstown",IF(Titanic_raw!L99="C","Cherbourg")))</f>
        <v>Southampton</v>
      </c>
    </row>
    <row r="100" spans="1:24" x14ac:dyDescent="0.2">
      <c r="A100" s="18">
        <f>Titanic_raw!A100</f>
        <v>990</v>
      </c>
      <c r="B100" s="17">
        <f>Titanic_raw!B100</f>
        <v>1</v>
      </c>
      <c r="C100" s="17" t="str">
        <f t="shared" si="1"/>
        <v>Survived</v>
      </c>
      <c r="D100" s="17" t="str">
        <f>CONCATENATE(Titanic_raw!C100, " Class")</f>
        <v>3 Class</v>
      </c>
      <c r="E100" s="19" t="str">
        <f>INDEX(tbl_passenger[Full Name],MATCH(A100,tbl_passenger[PassengerId],0))</f>
        <v>Miss. Elin Ester Maria Braf</v>
      </c>
      <c r="F100" t="str">
        <f>INDEX(tbl_passenger[Sex],MATCH(A100,tbl_passenger[PassengerId],0))</f>
        <v>Female</v>
      </c>
      <c r="G100" t="str">
        <f>IF(tbl_figures[Age]&lt;20, "Teens (0-19)", IF(tbl_figures[Age] &lt;40, "Youth (20-39)", IF(tbl_figures[Age]&lt;60, "Adult (40-59)", IF(tbl_figures[Age]&gt;=60, "Elders (60-Above)"))))</f>
        <v>Youth (20-39)</v>
      </c>
      <c r="H100" s="25">
        <f>IF(ISBLANK(Titanic_raw!F100),$C$423,Titanic_raw!F100)</f>
        <v>20</v>
      </c>
      <c r="I100">
        <f>Titanic_raw!G100</f>
        <v>0</v>
      </c>
      <c r="J100">
        <f>Titanic_raw!H100</f>
        <v>0</v>
      </c>
      <c r="K100">
        <f>Titanic_raw!I100</f>
        <v>347471</v>
      </c>
      <c r="L100" s="26">
        <f>IF(ISBLANK(Titanic_raw!J100),$C$427,Titanic_raw!J100)</f>
        <v>7.8541999999999996</v>
      </c>
      <c r="M100">
        <f>Titanic_raw!K100</f>
        <v>0</v>
      </c>
      <c r="N100" t="str">
        <f>IF(Titanic_raw!L100="S","Southampton",IF(Titanic_raw!L100="Q","Queenstown",IF(Titanic_raw!L100="C","Cherbourg")))</f>
        <v>Southampton</v>
      </c>
    </row>
    <row r="101" spans="1:24" x14ac:dyDescent="0.2">
      <c r="A101" s="18">
        <f>Titanic_raw!A101</f>
        <v>991</v>
      </c>
      <c r="B101" s="21">
        <f>Titanic_raw!B101</f>
        <v>0</v>
      </c>
      <c r="C101" s="21" t="str">
        <f t="shared" si="1"/>
        <v>Dead</v>
      </c>
      <c r="D101" s="21" t="str">
        <f>CONCATENATE(Titanic_raw!C101, " Class")</f>
        <v>3 Class</v>
      </c>
      <c r="E101" s="23" t="str">
        <f>INDEX(tbl_passenger[Full Name],MATCH(A101,tbl_passenger[PassengerId],0))</f>
        <v>Mr. William Henry Nancarrow</v>
      </c>
      <c r="F101" t="str">
        <f>INDEX(tbl_passenger[Sex],MATCH(A101,tbl_passenger[PassengerId],0))</f>
        <v>Male</v>
      </c>
      <c r="G101" t="str">
        <f>IF(tbl_figures[Age]&lt;20, "Teens (0-19)", IF(tbl_figures[Age] &lt;40, "Youth (20-39)", IF(tbl_figures[Age]&lt;60, "Adult (40-59)", IF(tbl_figures[Age]&gt;=60, "Elders (60-Above)"))))</f>
        <v>Youth (20-39)</v>
      </c>
      <c r="H101" s="25">
        <f>IF(ISBLANK(Titanic_raw!F101),$C$423,Titanic_raw!F101)</f>
        <v>33</v>
      </c>
      <c r="I101">
        <f>Titanic_raw!G101</f>
        <v>0</v>
      </c>
      <c r="J101">
        <f>Titanic_raw!H101</f>
        <v>0</v>
      </c>
      <c r="K101" t="str">
        <f>Titanic_raw!I101</f>
        <v>A./5. 3338</v>
      </c>
      <c r="L101" s="26">
        <f>IF(ISBLANK(Titanic_raw!J101),$C$427,Titanic_raw!J101)</f>
        <v>8.0500000000000007</v>
      </c>
      <c r="M101">
        <f>Titanic_raw!K101</f>
        <v>0</v>
      </c>
      <c r="N101" t="str">
        <f>IF(Titanic_raw!L101="S","Southampton",IF(Titanic_raw!L101="Q","Queenstown",IF(Titanic_raw!L101="C","Cherbourg")))</f>
        <v>Southampton</v>
      </c>
    </row>
    <row r="102" spans="1:24" x14ac:dyDescent="0.2">
      <c r="A102" s="18">
        <f>Titanic_raw!A102</f>
        <v>992</v>
      </c>
      <c r="B102" s="17">
        <f>Titanic_raw!B102</f>
        <v>1</v>
      </c>
      <c r="C102" s="17" t="str">
        <f t="shared" si="1"/>
        <v>Survived</v>
      </c>
      <c r="D102" s="17" t="str">
        <f>CONCATENATE(Titanic_raw!C102, " Class")</f>
        <v>1 Class</v>
      </c>
      <c r="E102" s="19" t="str">
        <f>INDEX(tbl_passenger[Full Name],MATCH(A102,tbl_passenger[PassengerId],0))</f>
        <v>Mrs. Charles Emil Henry (Annie May Morris) Stengel</v>
      </c>
      <c r="F102" t="str">
        <f>INDEX(tbl_passenger[Sex],MATCH(A102,tbl_passenger[PassengerId],0))</f>
        <v>Female</v>
      </c>
      <c r="G102" t="str">
        <f>IF(tbl_figures[Age]&lt;20, "Teens (0-19)", IF(tbl_figures[Age] &lt;40, "Youth (20-39)", IF(tbl_figures[Age]&lt;60, "Adult (40-59)", IF(tbl_figures[Age]&gt;=60, "Elders (60-Above)"))))</f>
        <v>Adult (40-59)</v>
      </c>
      <c r="H102" s="25">
        <f>IF(ISBLANK(Titanic_raw!F102),$C$423,Titanic_raw!F102)</f>
        <v>43</v>
      </c>
      <c r="I102">
        <f>Titanic_raw!G102</f>
        <v>1</v>
      </c>
      <c r="J102">
        <f>Titanic_raw!H102</f>
        <v>0</v>
      </c>
      <c r="K102">
        <f>Titanic_raw!I102</f>
        <v>11778</v>
      </c>
      <c r="L102" s="26">
        <f>IF(ISBLANK(Titanic_raw!J102),$C$427,Titanic_raw!J102)</f>
        <v>55.441699999999997</v>
      </c>
      <c r="M102" t="str">
        <f>Titanic_raw!K102</f>
        <v>C116</v>
      </c>
      <c r="N102" t="str">
        <f>IF(Titanic_raw!L102="S","Southampton",IF(Titanic_raw!L102="Q","Queenstown",IF(Titanic_raw!L102="C","Cherbourg")))</f>
        <v>Cherbourg</v>
      </c>
    </row>
    <row r="103" spans="1:24" x14ac:dyDescent="0.2">
      <c r="A103" s="18">
        <f>Titanic_raw!A103</f>
        <v>993</v>
      </c>
      <c r="B103" s="21">
        <f>Titanic_raw!B103</f>
        <v>0</v>
      </c>
      <c r="C103" s="21" t="str">
        <f t="shared" si="1"/>
        <v>Dead</v>
      </c>
      <c r="D103" s="21" t="str">
        <f>CONCATENATE(Titanic_raw!C103, " Class")</f>
        <v>2 Class</v>
      </c>
      <c r="E103" s="23" t="str">
        <f>INDEX(tbl_passenger[Full Name],MATCH(A103,tbl_passenger[PassengerId],0))</f>
        <v>Mr. Leopold Weisz</v>
      </c>
      <c r="F103" t="str">
        <f>INDEX(tbl_passenger[Sex],MATCH(A103,tbl_passenger[PassengerId],0))</f>
        <v>Male</v>
      </c>
      <c r="G103" t="str">
        <f>IF(tbl_figures[Age]&lt;20, "Teens (0-19)", IF(tbl_figures[Age] &lt;40, "Youth (20-39)", IF(tbl_figures[Age]&lt;60, "Adult (40-59)", IF(tbl_figures[Age]&gt;=60, "Elders (60-Above)"))))</f>
        <v>Youth (20-39)</v>
      </c>
      <c r="H103" s="25">
        <f>IF(ISBLANK(Titanic_raw!F103),$C$423,Titanic_raw!F103)</f>
        <v>27</v>
      </c>
      <c r="I103">
        <f>Titanic_raw!G103</f>
        <v>1</v>
      </c>
      <c r="J103">
        <f>Titanic_raw!H103</f>
        <v>0</v>
      </c>
      <c r="K103">
        <f>Titanic_raw!I103</f>
        <v>228414</v>
      </c>
      <c r="L103" s="26">
        <f>IF(ISBLANK(Titanic_raw!J103),$C$427,Titanic_raw!J103)</f>
        <v>26</v>
      </c>
      <c r="M103">
        <f>Titanic_raw!K103</f>
        <v>0</v>
      </c>
      <c r="N103" t="str">
        <f>IF(Titanic_raw!L103="S","Southampton",IF(Titanic_raw!L103="Q","Queenstown",IF(Titanic_raw!L103="C","Cherbourg")))</f>
        <v>Southampton</v>
      </c>
      <c r="T103" t="s">
        <v>626</v>
      </c>
      <c r="U103" t="s">
        <v>669</v>
      </c>
    </row>
    <row r="104" spans="1:24" x14ac:dyDescent="0.2">
      <c r="A104" s="18">
        <f>Titanic_raw!A104</f>
        <v>994</v>
      </c>
      <c r="B104" s="17">
        <f>Titanic_raw!B104</f>
        <v>0</v>
      </c>
      <c r="C104" s="17" t="str">
        <f t="shared" si="1"/>
        <v>Dead</v>
      </c>
      <c r="D104" s="17" t="str">
        <f>CONCATENATE(Titanic_raw!C104, " Class")</f>
        <v>3 Class</v>
      </c>
      <c r="E104" s="19" t="str">
        <f>INDEX(tbl_passenger[Full Name],MATCH(A104,tbl_passenger[PassengerId],0))</f>
        <v>Mr. William Foley</v>
      </c>
      <c r="F104" t="str">
        <f>INDEX(tbl_passenger[Sex],MATCH(A104,tbl_passenger[PassengerId],0))</f>
        <v>Male</v>
      </c>
      <c r="G104" t="str">
        <f>IF(tbl_figures[Age]&lt;20, "Teens (0-19)", IF(tbl_figures[Age] &lt;40, "Youth (20-39)", IF(tbl_figures[Age]&lt;60, "Adult (40-59)", IF(tbl_figures[Age]&gt;=60, "Elders (60-Above)"))))</f>
        <v>Youth (20-39)</v>
      </c>
      <c r="H104" s="25">
        <f>IF(ISBLANK(Titanic_raw!F104),$C$423,Titanic_raw!F104)</f>
        <v>30.272590325616491</v>
      </c>
      <c r="I104">
        <f>Titanic_raw!G104</f>
        <v>0</v>
      </c>
      <c r="J104">
        <f>Titanic_raw!H104</f>
        <v>0</v>
      </c>
      <c r="K104">
        <f>Titanic_raw!I104</f>
        <v>365235</v>
      </c>
      <c r="L104" s="26">
        <f>IF(ISBLANK(Titanic_raw!J104),$C$427,Titanic_raw!J104)</f>
        <v>7.75</v>
      </c>
      <c r="M104">
        <f>Titanic_raw!K104</f>
        <v>0</v>
      </c>
      <c r="N104" t="str">
        <f>IF(Titanic_raw!L104="S","Southampton",IF(Titanic_raw!L104="Q","Queenstown",IF(Titanic_raw!L104="C","Cherbourg")))</f>
        <v>Queenstown</v>
      </c>
      <c r="U104" s="5" t="s">
        <v>630</v>
      </c>
      <c r="V104" t="s">
        <v>633</v>
      </c>
    </row>
    <row r="105" spans="1:24" x14ac:dyDescent="0.2">
      <c r="A105" s="18">
        <f>Titanic_raw!A105</f>
        <v>995</v>
      </c>
      <c r="B105" s="21">
        <f>Titanic_raw!B105</f>
        <v>0</v>
      </c>
      <c r="C105" s="21" t="str">
        <f t="shared" si="1"/>
        <v>Dead</v>
      </c>
      <c r="D105" s="21" t="str">
        <f>CONCATENATE(Titanic_raw!C105, " Class")</f>
        <v>3 Class</v>
      </c>
      <c r="E105" s="23" t="str">
        <f>INDEX(tbl_passenger[Full Name],MATCH(A105,tbl_passenger[PassengerId],0))</f>
        <v>Mr. Oskar Leander Johansson Palmquist</v>
      </c>
      <c r="F105" t="str">
        <f>INDEX(tbl_passenger[Sex],MATCH(A105,tbl_passenger[PassengerId],0))</f>
        <v>Male</v>
      </c>
      <c r="G105" t="str">
        <f>IF(tbl_figures[Age]&lt;20, "Teens (0-19)", IF(tbl_figures[Age] &lt;40, "Youth (20-39)", IF(tbl_figures[Age]&lt;60, "Adult (40-59)", IF(tbl_figures[Age]&gt;=60, "Elders (60-Above)"))))</f>
        <v>Youth (20-39)</v>
      </c>
      <c r="H105" s="25">
        <f>IF(ISBLANK(Titanic_raw!F105),$C$423,Titanic_raw!F105)</f>
        <v>26</v>
      </c>
      <c r="I105">
        <f>Titanic_raw!G105</f>
        <v>0</v>
      </c>
      <c r="J105">
        <f>Titanic_raw!H105</f>
        <v>0</v>
      </c>
      <c r="K105">
        <f>Titanic_raw!I105</f>
        <v>347070</v>
      </c>
      <c r="L105" s="26">
        <f>IF(ISBLANK(Titanic_raw!J105),$C$427,Titanic_raw!J105)</f>
        <v>7.7750000000000004</v>
      </c>
      <c r="M105">
        <f>Titanic_raw!K105</f>
        <v>0</v>
      </c>
      <c r="N105" t="str">
        <f>IF(Titanic_raw!L105="S","Southampton",IF(Titanic_raw!L105="Q","Queenstown",IF(Titanic_raw!L105="C","Cherbourg")))</f>
        <v>Southampton</v>
      </c>
      <c r="U105" s="6">
        <v>1</v>
      </c>
      <c r="V105" s="4">
        <v>52</v>
      </c>
    </row>
    <row r="106" spans="1:24" x14ac:dyDescent="0.2">
      <c r="A106" s="18">
        <f>Titanic_raw!A106</f>
        <v>996</v>
      </c>
      <c r="B106" s="17">
        <f>Titanic_raw!B106</f>
        <v>1</v>
      </c>
      <c r="C106" s="17" t="str">
        <f t="shared" si="1"/>
        <v>Survived</v>
      </c>
      <c r="D106" s="17" t="str">
        <f>CONCATENATE(Titanic_raw!C106, " Class")</f>
        <v>3 Class</v>
      </c>
      <c r="E106" s="19" t="str">
        <f>INDEX(tbl_passenger[Full Name],MATCH(A106,tbl_passenger[PassengerId],0))</f>
        <v>Mrs. Alexander (Thamine Thelma")" Thomas</v>
      </c>
      <c r="F106" t="str">
        <f>INDEX(tbl_passenger[Sex],MATCH(A106,tbl_passenger[PassengerId],0))</f>
        <v>Female</v>
      </c>
      <c r="G106" t="str">
        <f>IF(tbl_figures[Age]&lt;20, "Teens (0-19)", IF(tbl_figures[Age] &lt;40, "Youth (20-39)", IF(tbl_figures[Age]&lt;60, "Adult (40-59)", IF(tbl_figures[Age]&gt;=60, "Elders (60-Above)"))))</f>
        <v>Teens (0-19)</v>
      </c>
      <c r="H106" s="25">
        <f>IF(ISBLANK(Titanic_raw!F106),$C$423,Titanic_raw!F106)</f>
        <v>16</v>
      </c>
      <c r="I106">
        <f>Titanic_raw!G106</f>
        <v>1</v>
      </c>
      <c r="J106">
        <f>Titanic_raw!H106</f>
        <v>1</v>
      </c>
      <c r="K106">
        <f>Titanic_raw!I106</f>
        <v>2625</v>
      </c>
      <c r="L106" s="26">
        <f>IF(ISBLANK(Titanic_raw!J106),$C$427,Titanic_raw!J106)</f>
        <v>8.5167000000000002</v>
      </c>
      <c r="M106">
        <f>Titanic_raw!K106</f>
        <v>0</v>
      </c>
      <c r="N106" t="str">
        <f>IF(Titanic_raw!L106="S","Southampton",IF(Titanic_raw!L106="Q","Queenstown",IF(Titanic_raw!L106="C","Cherbourg")))</f>
        <v>Cherbourg</v>
      </c>
      <c r="U106" s="6" t="s">
        <v>631</v>
      </c>
      <c r="V106" s="4">
        <v>52</v>
      </c>
    </row>
    <row r="107" spans="1:24" x14ac:dyDescent="0.2">
      <c r="A107" s="18">
        <f>Titanic_raw!A107</f>
        <v>997</v>
      </c>
      <c r="B107" s="21">
        <f>Titanic_raw!B107</f>
        <v>0</v>
      </c>
      <c r="C107" s="21" t="str">
        <f t="shared" si="1"/>
        <v>Dead</v>
      </c>
      <c r="D107" s="21" t="str">
        <f>CONCATENATE(Titanic_raw!C107, " Class")</f>
        <v>3 Class</v>
      </c>
      <c r="E107" s="23" t="str">
        <f>INDEX(tbl_passenger[Full Name],MATCH(A107,tbl_passenger[PassengerId],0))</f>
        <v>Mr. Johan Martin Holthen</v>
      </c>
      <c r="F107" t="str">
        <f>INDEX(tbl_passenger[Sex],MATCH(A107,tbl_passenger[PassengerId],0))</f>
        <v>Male</v>
      </c>
      <c r="G107" t="str">
        <f>IF(tbl_figures[Age]&lt;20, "Teens (0-19)", IF(tbl_figures[Age] &lt;40, "Youth (20-39)", IF(tbl_figures[Age]&lt;60, "Adult (40-59)", IF(tbl_figures[Age]&gt;=60, "Elders (60-Above)"))))</f>
        <v>Youth (20-39)</v>
      </c>
      <c r="H107" s="25">
        <f>IF(ISBLANK(Titanic_raw!F107),$C$423,Titanic_raw!F107)</f>
        <v>28</v>
      </c>
      <c r="I107">
        <f>Titanic_raw!G107</f>
        <v>0</v>
      </c>
      <c r="J107">
        <f>Titanic_raw!H107</f>
        <v>0</v>
      </c>
      <c r="K107" t="str">
        <f>Titanic_raw!I107</f>
        <v>C 4001</v>
      </c>
      <c r="L107" s="26">
        <f>IF(ISBLANK(Titanic_raw!J107),$C$427,Titanic_raw!J107)</f>
        <v>22.524999999999999</v>
      </c>
      <c r="M107">
        <f>Titanic_raw!K107</f>
        <v>0</v>
      </c>
      <c r="N107" t="str">
        <f>IF(Titanic_raw!L107="S","Southampton",IF(Titanic_raw!L107="Q","Queenstown",IF(Titanic_raw!L107="C","Cherbourg")))</f>
        <v>Southampton</v>
      </c>
      <c r="U107" t="s">
        <v>670</v>
      </c>
    </row>
    <row r="108" spans="1:24" x14ac:dyDescent="0.2">
      <c r="A108" s="18">
        <f>Titanic_raw!A108</f>
        <v>998</v>
      </c>
      <c r="B108" s="17">
        <f>Titanic_raw!B108</f>
        <v>0</v>
      </c>
      <c r="C108" s="17" t="str">
        <f t="shared" si="1"/>
        <v>Dead</v>
      </c>
      <c r="D108" s="17" t="str">
        <f>CONCATENATE(Titanic_raw!C108, " Class")</f>
        <v>3 Class</v>
      </c>
      <c r="E108" s="19" t="str">
        <f>INDEX(tbl_passenger[Full Name],MATCH(A108,tbl_passenger[PassengerId],0))</f>
        <v>Mr. Daniel Buckley</v>
      </c>
      <c r="F108" t="str">
        <f>INDEX(tbl_passenger[Sex],MATCH(A108,tbl_passenger[PassengerId],0))</f>
        <v>Male</v>
      </c>
      <c r="G108" t="str">
        <f>IF(tbl_figures[Age]&lt;20, "Teens (0-19)", IF(tbl_figures[Age] &lt;40, "Youth (20-39)", IF(tbl_figures[Age]&lt;60, "Adult (40-59)", IF(tbl_figures[Age]&gt;=60, "Elders (60-Above)"))))</f>
        <v>Youth (20-39)</v>
      </c>
      <c r="H108" s="25">
        <f>IF(ISBLANK(Titanic_raw!F108),$C$423,Titanic_raw!F108)</f>
        <v>21</v>
      </c>
      <c r="I108">
        <f>Titanic_raw!G108</f>
        <v>0</v>
      </c>
      <c r="J108">
        <f>Titanic_raw!H108</f>
        <v>0</v>
      </c>
      <c r="K108">
        <f>Titanic_raw!I108</f>
        <v>330920</v>
      </c>
      <c r="L108" s="26">
        <f>IF(ISBLANK(Titanic_raw!J108),$C$427,Titanic_raw!J108)</f>
        <v>7.8208000000000002</v>
      </c>
      <c r="M108">
        <f>Titanic_raw!K108</f>
        <v>0</v>
      </c>
      <c r="N108" t="str">
        <f>IF(Titanic_raw!L108="S","Southampton",IF(Titanic_raw!L108="Q","Queenstown",IF(Titanic_raw!L108="C","Cherbourg")))</f>
        <v>Queenstown</v>
      </c>
    </row>
    <row r="109" spans="1:24" x14ac:dyDescent="0.2">
      <c r="A109" s="18">
        <f>Titanic_raw!A109</f>
        <v>999</v>
      </c>
      <c r="B109" s="21">
        <f>Titanic_raw!B109</f>
        <v>0</v>
      </c>
      <c r="C109" s="21" t="str">
        <f t="shared" si="1"/>
        <v>Dead</v>
      </c>
      <c r="D109" s="21" t="str">
        <f>CONCATENATE(Titanic_raw!C109, " Class")</f>
        <v>3 Class</v>
      </c>
      <c r="E109" s="23" t="str">
        <f>INDEX(tbl_passenger[Full Name],MATCH(A109,tbl_passenger[PassengerId],0))</f>
        <v>Mr. Edward Ryan</v>
      </c>
      <c r="F109" t="str">
        <f>INDEX(tbl_passenger[Sex],MATCH(A109,tbl_passenger[PassengerId],0))</f>
        <v>Male</v>
      </c>
      <c r="G109" t="str">
        <f>IF(tbl_figures[Age]&lt;20, "Teens (0-19)", IF(tbl_figures[Age] &lt;40, "Youth (20-39)", IF(tbl_figures[Age]&lt;60, "Adult (40-59)", IF(tbl_figures[Age]&gt;=60, "Elders (60-Above)"))))</f>
        <v>Youth (20-39)</v>
      </c>
      <c r="H109" s="25">
        <f>IF(ISBLANK(Titanic_raw!F109),$C$423,Titanic_raw!F109)</f>
        <v>30.272590325616491</v>
      </c>
      <c r="I109">
        <f>Titanic_raw!G109</f>
        <v>0</v>
      </c>
      <c r="J109">
        <f>Titanic_raw!H109</f>
        <v>0</v>
      </c>
      <c r="K109">
        <f>Titanic_raw!I109</f>
        <v>383162</v>
      </c>
      <c r="L109" s="26">
        <f>IF(ISBLANK(Titanic_raw!J109),$C$427,Titanic_raw!J109)</f>
        <v>7.75</v>
      </c>
      <c r="M109">
        <f>Titanic_raw!K109</f>
        <v>0</v>
      </c>
      <c r="N109" t="str">
        <f>IF(Titanic_raw!L109="S","Southampton",IF(Titanic_raw!L109="Q","Queenstown",IF(Titanic_raw!L109="C","Cherbourg")))</f>
        <v>Queenstown</v>
      </c>
    </row>
    <row r="110" spans="1:24" x14ac:dyDescent="0.2">
      <c r="A110" s="18">
        <f>Titanic_raw!A110</f>
        <v>1000</v>
      </c>
      <c r="B110" s="17">
        <f>Titanic_raw!B110</f>
        <v>0</v>
      </c>
      <c r="C110" s="17" t="str">
        <f t="shared" si="1"/>
        <v>Dead</v>
      </c>
      <c r="D110" s="17" t="str">
        <f>CONCATENATE(Titanic_raw!C110, " Class")</f>
        <v>3 Class</v>
      </c>
      <c r="E110" s="19" t="str">
        <f>INDEX(tbl_passenger[Full Name],MATCH(A110,tbl_passenger[PassengerId],0))</f>
        <v>Mr. Aaron (Abi Weller")" Willer</v>
      </c>
      <c r="F110" t="str">
        <f>INDEX(tbl_passenger[Sex],MATCH(A110,tbl_passenger[PassengerId],0))</f>
        <v>Male</v>
      </c>
      <c r="G110" t="str">
        <f>IF(tbl_figures[Age]&lt;20, "Teens (0-19)", IF(tbl_figures[Age] &lt;40, "Youth (20-39)", IF(tbl_figures[Age]&lt;60, "Adult (40-59)", IF(tbl_figures[Age]&gt;=60, "Elders (60-Above)"))))</f>
        <v>Youth (20-39)</v>
      </c>
      <c r="H110" s="25">
        <f>IF(ISBLANK(Titanic_raw!F110),$C$423,Titanic_raw!F110)</f>
        <v>30.272590325616491</v>
      </c>
      <c r="I110">
        <f>Titanic_raw!G110</f>
        <v>0</v>
      </c>
      <c r="J110">
        <f>Titanic_raw!H110</f>
        <v>0</v>
      </c>
      <c r="K110">
        <f>Titanic_raw!I110</f>
        <v>3410</v>
      </c>
      <c r="L110" s="26">
        <f>IF(ISBLANK(Titanic_raw!J110),$C$427,Titanic_raw!J110)</f>
        <v>8.7125000000000004</v>
      </c>
      <c r="M110">
        <f>Titanic_raw!K110</f>
        <v>0</v>
      </c>
      <c r="N110" t="str">
        <f>IF(Titanic_raw!L110="S","Southampton",IF(Titanic_raw!L110="Q","Queenstown",IF(Titanic_raw!L110="C","Cherbourg")))</f>
        <v>Southampton</v>
      </c>
    </row>
    <row r="111" spans="1:24" x14ac:dyDescent="0.2">
      <c r="A111" s="18">
        <f>Titanic_raw!A111</f>
        <v>1001</v>
      </c>
      <c r="B111" s="21">
        <f>Titanic_raw!B111</f>
        <v>0</v>
      </c>
      <c r="C111" s="21" t="str">
        <f t="shared" si="1"/>
        <v>Dead</v>
      </c>
      <c r="D111" s="21" t="str">
        <f>CONCATENATE(Titanic_raw!C111, " Class")</f>
        <v>2 Class</v>
      </c>
      <c r="E111" s="23" t="str">
        <f>INDEX(tbl_passenger[Full Name],MATCH(A111,tbl_passenger[PassengerId],0))</f>
        <v>Mr. George Swane</v>
      </c>
      <c r="F111" t="str">
        <f>INDEX(tbl_passenger[Sex],MATCH(A111,tbl_passenger[PassengerId],0))</f>
        <v>Male</v>
      </c>
      <c r="G111" t="str">
        <f>IF(tbl_figures[Age]&lt;20, "Teens (0-19)", IF(tbl_figures[Age] &lt;40, "Youth (20-39)", IF(tbl_figures[Age]&lt;60, "Adult (40-59)", IF(tbl_figures[Age]&gt;=60, "Elders (60-Above)"))))</f>
        <v>Teens (0-19)</v>
      </c>
      <c r="H111" s="25">
        <f>IF(ISBLANK(Titanic_raw!F111),$C$423,Titanic_raw!F111)</f>
        <v>18.5</v>
      </c>
      <c r="I111">
        <f>Titanic_raw!G111</f>
        <v>0</v>
      </c>
      <c r="J111">
        <f>Titanic_raw!H111</f>
        <v>0</v>
      </c>
      <c r="K111">
        <f>Titanic_raw!I111</f>
        <v>248734</v>
      </c>
      <c r="L111" s="26">
        <f>IF(ISBLANK(Titanic_raw!J111),$C$427,Titanic_raw!J111)</f>
        <v>13</v>
      </c>
      <c r="M111" t="str">
        <f>Titanic_raw!K111</f>
        <v>F</v>
      </c>
      <c r="N111" t="str">
        <f>IF(Titanic_raw!L111="S","Southampton",IF(Titanic_raw!L111="Q","Queenstown",IF(Titanic_raw!L111="C","Cherbourg")))</f>
        <v>Southampton</v>
      </c>
      <c r="T111" t="s">
        <v>627</v>
      </c>
      <c r="U111" t="s">
        <v>632</v>
      </c>
      <c r="V111" t="s">
        <v>647</v>
      </c>
      <c r="W111" t="s">
        <v>648</v>
      </c>
      <c r="X111" t="s">
        <v>649</v>
      </c>
    </row>
    <row r="112" spans="1:24" x14ac:dyDescent="0.2">
      <c r="A112" s="18">
        <f>Titanic_raw!A112</f>
        <v>1002</v>
      </c>
      <c r="B112" s="17">
        <f>Titanic_raw!B112</f>
        <v>0</v>
      </c>
      <c r="C112" s="17" t="str">
        <f t="shared" si="1"/>
        <v>Dead</v>
      </c>
      <c r="D112" s="17" t="str">
        <f>CONCATENATE(Titanic_raw!C112, " Class")</f>
        <v>2 Class</v>
      </c>
      <c r="E112" s="19" t="str">
        <f>INDEX(tbl_passenger[Full Name],MATCH(A112,tbl_passenger[PassengerId],0))</f>
        <v>Mr. Samuel Ward Stanton</v>
      </c>
      <c r="F112" t="str">
        <f>INDEX(tbl_passenger[Sex],MATCH(A112,tbl_passenger[PassengerId],0))</f>
        <v>Male</v>
      </c>
      <c r="G112" t="str">
        <f>IF(tbl_figures[Age]&lt;20, "Teens (0-19)", IF(tbl_figures[Age] &lt;40, "Youth (20-39)", IF(tbl_figures[Age]&lt;60, "Adult (40-59)", IF(tbl_figures[Age]&gt;=60, "Elders (60-Above)"))))</f>
        <v>Adult (40-59)</v>
      </c>
      <c r="H112" s="25">
        <f>IF(ISBLANK(Titanic_raw!F112),$C$423,Titanic_raw!F112)</f>
        <v>41</v>
      </c>
      <c r="I112">
        <f>Titanic_raw!G112</f>
        <v>0</v>
      </c>
      <c r="J112">
        <f>Titanic_raw!H112</f>
        <v>0</v>
      </c>
      <c r="K112">
        <f>Titanic_raw!I112</f>
        <v>237734</v>
      </c>
      <c r="L112" s="26">
        <f>IF(ISBLANK(Titanic_raw!J112),$C$427,Titanic_raw!J112)</f>
        <v>15.0458</v>
      </c>
      <c r="M112">
        <f>Titanic_raw!K112</f>
        <v>0</v>
      </c>
      <c r="N112" t="str">
        <f>IF(Titanic_raw!L112="S","Southampton",IF(Titanic_raw!L112="Q","Queenstown",IF(Titanic_raw!L112="C","Cherbourg")))</f>
        <v>Cherbourg</v>
      </c>
      <c r="U112" s="27">
        <v>14892.164788489195</v>
      </c>
      <c r="V112" s="27">
        <v>35.627188489208599</v>
      </c>
      <c r="W112" s="27">
        <v>512.32920000000001</v>
      </c>
      <c r="X112" s="27">
        <v>0</v>
      </c>
    </row>
    <row r="113" spans="1:22" x14ac:dyDescent="0.2">
      <c r="A113" s="18">
        <f>Titanic_raw!A113</f>
        <v>1003</v>
      </c>
      <c r="B113" s="21">
        <f>Titanic_raw!B113</f>
        <v>1</v>
      </c>
      <c r="C113" s="21" t="str">
        <f t="shared" si="1"/>
        <v>Survived</v>
      </c>
      <c r="D113" s="21" t="str">
        <f>CONCATENATE(Titanic_raw!C113, " Class")</f>
        <v>3 Class</v>
      </c>
      <c r="E113" s="23" t="str">
        <f>INDEX(tbl_passenger[Full Name],MATCH(A113,tbl_passenger[PassengerId],0))</f>
        <v>Miss. Ellen Natalia Shine</v>
      </c>
      <c r="F113" t="str">
        <f>INDEX(tbl_passenger[Sex],MATCH(A113,tbl_passenger[PassengerId],0))</f>
        <v>Female</v>
      </c>
      <c r="G113" t="str">
        <f>IF(tbl_figures[Age]&lt;20, "Teens (0-19)", IF(tbl_figures[Age] &lt;40, "Youth (20-39)", IF(tbl_figures[Age]&lt;60, "Adult (40-59)", IF(tbl_figures[Age]&gt;=60, "Elders (60-Above)"))))</f>
        <v>Youth (20-39)</v>
      </c>
      <c r="H113" s="25">
        <f>IF(ISBLANK(Titanic_raw!F113),$C$423,Titanic_raw!F113)</f>
        <v>30.272590325616491</v>
      </c>
      <c r="I113">
        <f>Titanic_raw!G113</f>
        <v>0</v>
      </c>
      <c r="J113">
        <f>Titanic_raw!H113</f>
        <v>0</v>
      </c>
      <c r="K113">
        <f>Titanic_raw!I113</f>
        <v>330968</v>
      </c>
      <c r="L113" s="26">
        <f>IF(ISBLANK(Titanic_raw!J113),$C$427,Titanic_raw!J113)</f>
        <v>7.7792000000000003</v>
      </c>
      <c r="M113">
        <f>Titanic_raw!K113</f>
        <v>0</v>
      </c>
      <c r="N113" t="str">
        <f>IF(Titanic_raw!L113="S","Southampton",IF(Titanic_raw!L113="Q","Queenstown",IF(Titanic_raw!L113="C","Cherbourg")))</f>
        <v>Queenstown</v>
      </c>
    </row>
    <row r="114" spans="1:22" x14ac:dyDescent="0.2">
      <c r="A114" s="18">
        <f>Titanic_raw!A114</f>
        <v>1004</v>
      </c>
      <c r="B114" s="17">
        <f>Titanic_raw!B114</f>
        <v>1</v>
      </c>
      <c r="C114" s="17" t="str">
        <f t="shared" si="1"/>
        <v>Survived</v>
      </c>
      <c r="D114" s="17" t="str">
        <f>CONCATENATE(Titanic_raw!C114, " Class")</f>
        <v>1 Class</v>
      </c>
      <c r="E114" s="19" t="str">
        <f>INDEX(tbl_passenger[Full Name],MATCH(A114,tbl_passenger[PassengerId],0))</f>
        <v>Miss. Edith Corse Evans</v>
      </c>
      <c r="F114" t="str">
        <f>INDEX(tbl_passenger[Sex],MATCH(A114,tbl_passenger[PassengerId],0))</f>
        <v>Female</v>
      </c>
      <c r="G114" t="str">
        <f>IF(tbl_figures[Age]&lt;20, "Teens (0-19)", IF(tbl_figures[Age] &lt;40, "Youth (20-39)", IF(tbl_figures[Age]&lt;60, "Adult (40-59)", IF(tbl_figures[Age]&gt;=60, "Elders (60-Above)"))))</f>
        <v>Youth (20-39)</v>
      </c>
      <c r="H114" s="25">
        <f>IF(ISBLANK(Titanic_raw!F114),$C$423,Titanic_raw!F114)</f>
        <v>36</v>
      </c>
      <c r="I114">
        <f>Titanic_raw!G114</f>
        <v>0</v>
      </c>
      <c r="J114">
        <f>Titanic_raw!H114</f>
        <v>0</v>
      </c>
      <c r="K114" t="str">
        <f>Titanic_raw!I114</f>
        <v>PC 17531</v>
      </c>
      <c r="L114" s="26">
        <f>IF(ISBLANK(Titanic_raw!J114),$C$427,Titanic_raw!J114)</f>
        <v>31.679200000000002</v>
      </c>
      <c r="M114" t="str">
        <f>Titanic_raw!K114</f>
        <v>A29</v>
      </c>
      <c r="N114" t="str">
        <f>IF(Titanic_raw!L114="S","Southampton",IF(Titanic_raw!L114="Q","Queenstown",IF(Titanic_raw!L114="C","Cherbourg")))</f>
        <v>Cherbourg</v>
      </c>
      <c r="U114" t="s">
        <v>671</v>
      </c>
    </row>
    <row r="115" spans="1:22" x14ac:dyDescent="0.2">
      <c r="A115" s="18">
        <f>Titanic_raw!A115</f>
        <v>1005</v>
      </c>
      <c r="B115" s="21">
        <f>Titanic_raw!B115</f>
        <v>1</v>
      </c>
      <c r="C115" s="21" t="str">
        <f t="shared" si="1"/>
        <v>Survived</v>
      </c>
      <c r="D115" s="21" t="str">
        <f>CONCATENATE(Titanic_raw!C115, " Class")</f>
        <v>3 Class</v>
      </c>
      <c r="E115" s="23" t="str">
        <f>INDEX(tbl_passenger[Full Name],MATCH(A115,tbl_passenger[PassengerId],0))</f>
        <v>Miss. Katherine Buckley</v>
      </c>
      <c r="F115" t="str">
        <f>INDEX(tbl_passenger[Sex],MATCH(A115,tbl_passenger[PassengerId],0))</f>
        <v>Female</v>
      </c>
      <c r="G115" t="str">
        <f>IF(tbl_figures[Age]&lt;20, "Teens (0-19)", IF(tbl_figures[Age] &lt;40, "Youth (20-39)", IF(tbl_figures[Age]&lt;60, "Adult (40-59)", IF(tbl_figures[Age]&gt;=60, "Elders (60-Above)"))))</f>
        <v>Teens (0-19)</v>
      </c>
      <c r="H115" s="25">
        <f>IF(ISBLANK(Titanic_raw!F115),$C$423,Titanic_raw!F115)</f>
        <v>18.5</v>
      </c>
      <c r="I115">
        <f>Titanic_raw!G115</f>
        <v>0</v>
      </c>
      <c r="J115">
        <f>Titanic_raw!H115</f>
        <v>0</v>
      </c>
      <c r="K115">
        <f>Titanic_raw!I115</f>
        <v>329944</v>
      </c>
      <c r="L115" s="26">
        <f>IF(ISBLANK(Titanic_raw!J115),$C$427,Titanic_raw!J115)</f>
        <v>7.2832999999999997</v>
      </c>
      <c r="M115">
        <f>Titanic_raw!K115</f>
        <v>0</v>
      </c>
      <c r="N115" t="str">
        <f>IF(Titanic_raw!L115="S","Southampton",IF(Titanic_raw!L115="Q","Queenstown",IF(Titanic_raw!L115="C","Cherbourg")))</f>
        <v>Queenstown</v>
      </c>
      <c r="U115" t="s">
        <v>672</v>
      </c>
    </row>
    <row r="116" spans="1:22" x14ac:dyDescent="0.2">
      <c r="A116" s="18">
        <f>Titanic_raw!A116</f>
        <v>1006</v>
      </c>
      <c r="B116" s="17">
        <f>Titanic_raw!B116</f>
        <v>1</v>
      </c>
      <c r="C116" s="17" t="str">
        <f t="shared" si="1"/>
        <v>Survived</v>
      </c>
      <c r="D116" s="17" t="str">
        <f>CONCATENATE(Titanic_raw!C116, " Class")</f>
        <v>1 Class</v>
      </c>
      <c r="E116" s="19" t="str">
        <f>INDEX(tbl_passenger[Full Name],MATCH(A116,tbl_passenger[PassengerId],0))</f>
        <v>Mrs. Isidor (Rosalie Ida Blun) Straus</v>
      </c>
      <c r="F116" t="str">
        <f>INDEX(tbl_passenger[Sex],MATCH(A116,tbl_passenger[PassengerId],0))</f>
        <v>Female</v>
      </c>
      <c r="G116" t="str">
        <f>IF(tbl_figures[Age]&lt;20, "Teens (0-19)", IF(tbl_figures[Age] &lt;40, "Youth (20-39)", IF(tbl_figures[Age]&lt;60, "Adult (40-59)", IF(tbl_figures[Age]&gt;=60, "Elders (60-Above)"))))</f>
        <v>Elders (60-Above)</v>
      </c>
      <c r="H116" s="25">
        <f>IF(ISBLANK(Titanic_raw!F116),$C$423,Titanic_raw!F116)</f>
        <v>63</v>
      </c>
      <c r="I116">
        <f>Titanic_raw!G116</f>
        <v>1</v>
      </c>
      <c r="J116">
        <f>Titanic_raw!H116</f>
        <v>0</v>
      </c>
      <c r="K116" t="str">
        <f>Titanic_raw!I116</f>
        <v>PC 17483</v>
      </c>
      <c r="L116" s="26">
        <f>IF(ISBLANK(Titanic_raw!J116),$C$427,Titanic_raw!J116)</f>
        <v>221.7792</v>
      </c>
      <c r="M116" t="str">
        <f>Titanic_raw!K116</f>
        <v>C55 C57</v>
      </c>
      <c r="N116" t="str">
        <f>IF(Titanic_raw!L116="S","Southampton",IF(Titanic_raw!L116="Q","Queenstown",IF(Titanic_raw!L116="C","Cherbourg")))</f>
        <v>Southampton</v>
      </c>
    </row>
    <row r="117" spans="1:22" x14ac:dyDescent="0.2">
      <c r="A117" s="18">
        <f>Titanic_raw!A117</f>
        <v>1007</v>
      </c>
      <c r="B117" s="21">
        <f>Titanic_raw!B117</f>
        <v>0</v>
      </c>
      <c r="C117" s="21" t="str">
        <f t="shared" si="1"/>
        <v>Dead</v>
      </c>
      <c r="D117" s="21" t="str">
        <f>CONCATENATE(Titanic_raw!C117, " Class")</f>
        <v>3 Class</v>
      </c>
      <c r="E117" s="23" t="str">
        <f>INDEX(tbl_passenger[Full Name],MATCH(A117,tbl_passenger[PassengerId],0))</f>
        <v>Mr. Demetrios Chronopoulos</v>
      </c>
      <c r="F117" t="str">
        <f>INDEX(tbl_passenger[Sex],MATCH(A117,tbl_passenger[PassengerId],0))</f>
        <v>Male</v>
      </c>
      <c r="G117" t="str">
        <f>IF(tbl_figures[Age]&lt;20, "Teens (0-19)", IF(tbl_figures[Age] &lt;40, "Youth (20-39)", IF(tbl_figures[Age]&lt;60, "Adult (40-59)", IF(tbl_figures[Age]&gt;=60, "Elders (60-Above)"))))</f>
        <v>Teens (0-19)</v>
      </c>
      <c r="H117" s="25">
        <f>IF(ISBLANK(Titanic_raw!F117),$C$423,Titanic_raw!F117)</f>
        <v>18</v>
      </c>
      <c r="I117">
        <f>Titanic_raw!G117</f>
        <v>1</v>
      </c>
      <c r="J117">
        <f>Titanic_raw!H117</f>
        <v>0</v>
      </c>
      <c r="K117">
        <f>Titanic_raw!I117</f>
        <v>2680</v>
      </c>
      <c r="L117" s="26">
        <f>IF(ISBLANK(Titanic_raw!J117),$C$427,Titanic_raw!J117)</f>
        <v>14.4542</v>
      </c>
      <c r="M117">
        <f>Titanic_raw!K117</f>
        <v>0</v>
      </c>
      <c r="N117" t="str">
        <f>IF(Titanic_raw!L117="S","Southampton",IF(Titanic_raw!L117="Q","Queenstown",IF(Titanic_raw!L117="C","Cherbourg")))</f>
        <v>Cherbourg</v>
      </c>
    </row>
    <row r="118" spans="1:22" x14ac:dyDescent="0.2">
      <c r="A118" s="18">
        <f>Titanic_raw!A118</f>
        <v>1008</v>
      </c>
      <c r="B118" s="17">
        <f>Titanic_raw!B118</f>
        <v>0</v>
      </c>
      <c r="C118" s="17" t="str">
        <f t="shared" si="1"/>
        <v>Dead</v>
      </c>
      <c r="D118" s="17" t="str">
        <f>CONCATENATE(Titanic_raw!C118, " Class")</f>
        <v>3 Class</v>
      </c>
      <c r="E118" s="19" t="str">
        <f>INDEX(tbl_passenger[Full Name],MATCH(A118,tbl_passenger[PassengerId],0))</f>
        <v>Mr. John Thomas</v>
      </c>
      <c r="F118" t="str">
        <f>INDEX(tbl_passenger[Sex],MATCH(A118,tbl_passenger[PassengerId],0))</f>
        <v>Male</v>
      </c>
      <c r="G118" t="str">
        <f>IF(tbl_figures[Age]&lt;20, "Teens (0-19)", IF(tbl_figures[Age] &lt;40, "Youth (20-39)", IF(tbl_figures[Age]&lt;60, "Adult (40-59)", IF(tbl_figures[Age]&gt;=60, "Elders (60-Above)"))))</f>
        <v>Youth (20-39)</v>
      </c>
      <c r="H118" s="25">
        <f>IF(ISBLANK(Titanic_raw!F118),$C$423,Titanic_raw!F118)</f>
        <v>30.272590325616491</v>
      </c>
      <c r="I118">
        <f>Titanic_raw!G118</f>
        <v>0</v>
      </c>
      <c r="J118">
        <f>Titanic_raw!H118</f>
        <v>0</v>
      </c>
      <c r="K118">
        <f>Titanic_raw!I118</f>
        <v>2681</v>
      </c>
      <c r="L118" s="26">
        <f>IF(ISBLANK(Titanic_raw!J118),$C$427,Titanic_raw!J118)</f>
        <v>6.4375</v>
      </c>
      <c r="M118">
        <f>Titanic_raw!K118</f>
        <v>0</v>
      </c>
      <c r="N118" t="str">
        <f>IF(Titanic_raw!L118="S","Southampton",IF(Titanic_raw!L118="Q","Queenstown",IF(Titanic_raw!L118="C","Cherbourg")))</f>
        <v>Cherbourg</v>
      </c>
    </row>
    <row r="119" spans="1:22" x14ac:dyDescent="0.2">
      <c r="A119" s="18">
        <f>Titanic_raw!A119</f>
        <v>1009</v>
      </c>
      <c r="B119" s="21">
        <f>Titanic_raw!B119</f>
        <v>1</v>
      </c>
      <c r="C119" s="21" t="str">
        <f t="shared" si="1"/>
        <v>Survived</v>
      </c>
      <c r="D119" s="21" t="str">
        <f>CONCATENATE(Titanic_raw!C119, " Class")</f>
        <v>3 Class</v>
      </c>
      <c r="E119" s="23" t="str">
        <f>INDEX(tbl_passenger[Full Name],MATCH(A119,tbl_passenger[PassengerId],0))</f>
        <v>Miss. Beatrice Irene Sandstrom</v>
      </c>
      <c r="F119" t="str">
        <f>INDEX(tbl_passenger[Sex],MATCH(A119,tbl_passenger[PassengerId],0))</f>
        <v>Female</v>
      </c>
      <c r="G119" t="str">
        <f>IF(tbl_figures[Age]&lt;20, "Teens (0-19)", IF(tbl_figures[Age] &lt;40, "Youth (20-39)", IF(tbl_figures[Age]&lt;60, "Adult (40-59)", IF(tbl_figures[Age]&gt;=60, "Elders (60-Above)"))))</f>
        <v>Teens (0-19)</v>
      </c>
      <c r="H119" s="25">
        <f>IF(ISBLANK(Titanic_raw!F119),$C$423,Titanic_raw!F119)</f>
        <v>1</v>
      </c>
      <c r="I119">
        <f>Titanic_raw!G119</f>
        <v>1</v>
      </c>
      <c r="J119">
        <f>Titanic_raw!H119</f>
        <v>1</v>
      </c>
      <c r="K119" t="str">
        <f>Titanic_raw!I119</f>
        <v>PP 9549</v>
      </c>
      <c r="L119" s="26">
        <f>IF(ISBLANK(Titanic_raw!J119),$C$427,Titanic_raw!J119)</f>
        <v>16.7</v>
      </c>
      <c r="M119" t="str">
        <f>Titanic_raw!K119</f>
        <v>G6</v>
      </c>
      <c r="N119" t="str">
        <f>IF(Titanic_raw!L119="S","Southampton",IF(Titanic_raw!L119="Q","Queenstown",IF(Titanic_raw!L119="C","Cherbourg")))</f>
        <v>Southampton</v>
      </c>
      <c r="T119" t="s">
        <v>628</v>
      </c>
      <c r="U119" s="5" t="s">
        <v>630</v>
      </c>
      <c r="V119" t="s">
        <v>633</v>
      </c>
    </row>
    <row r="120" spans="1:22" x14ac:dyDescent="0.2">
      <c r="A120" s="18">
        <f>Titanic_raw!A120</f>
        <v>1010</v>
      </c>
      <c r="B120" s="17">
        <f>Titanic_raw!B120</f>
        <v>0</v>
      </c>
      <c r="C120" s="17" t="str">
        <f t="shared" si="1"/>
        <v>Dead</v>
      </c>
      <c r="D120" s="17" t="str">
        <f>CONCATENATE(Titanic_raw!C120, " Class")</f>
        <v>1 Class</v>
      </c>
      <c r="E120" s="19" t="str">
        <f>INDEX(tbl_passenger[Full Name],MATCH(A120,tbl_passenger[PassengerId],0))</f>
        <v>Mr. Thomson Beattie</v>
      </c>
      <c r="F120" t="str">
        <f>INDEX(tbl_passenger[Sex],MATCH(A120,tbl_passenger[PassengerId],0))</f>
        <v>Male</v>
      </c>
      <c r="G120" t="str">
        <f>IF(tbl_figures[Age]&lt;20, "Teens (0-19)", IF(tbl_figures[Age] &lt;40, "Youth (20-39)", IF(tbl_figures[Age]&lt;60, "Adult (40-59)", IF(tbl_figures[Age]&gt;=60, "Elders (60-Above)"))))</f>
        <v>Youth (20-39)</v>
      </c>
      <c r="H120" s="25">
        <f>IF(ISBLANK(Titanic_raw!F120),$C$423,Titanic_raw!F120)</f>
        <v>36</v>
      </c>
      <c r="I120">
        <f>Titanic_raw!G120</f>
        <v>0</v>
      </c>
      <c r="J120">
        <f>Titanic_raw!H120</f>
        <v>0</v>
      </c>
      <c r="K120">
        <f>Titanic_raw!I120</f>
        <v>13050</v>
      </c>
      <c r="L120" s="26">
        <f>IF(ISBLANK(Titanic_raw!J120),$C$427,Titanic_raw!J120)</f>
        <v>75.241699999999994</v>
      </c>
      <c r="M120" t="str">
        <f>Titanic_raw!K120</f>
        <v>C6</v>
      </c>
      <c r="N120" t="str">
        <f>IF(Titanic_raw!L120="S","Southampton",IF(Titanic_raw!L120="Q","Queenstown",IF(Titanic_raw!L120="C","Cherbourg")))</f>
        <v>Cherbourg</v>
      </c>
      <c r="U120" s="6" t="s">
        <v>639</v>
      </c>
      <c r="V120" s="4">
        <v>270</v>
      </c>
    </row>
    <row r="121" spans="1:22" x14ac:dyDescent="0.2">
      <c r="A121" s="18">
        <f>Titanic_raw!A121</f>
        <v>1011</v>
      </c>
      <c r="B121" s="21">
        <f>Titanic_raw!B121</f>
        <v>1</v>
      </c>
      <c r="C121" s="21" t="str">
        <f t="shared" si="1"/>
        <v>Survived</v>
      </c>
      <c r="D121" s="21" t="str">
        <f>CONCATENATE(Titanic_raw!C121, " Class")</f>
        <v>2 Class</v>
      </c>
      <c r="E121" s="23" t="str">
        <f>INDEX(tbl_passenger[Full Name],MATCH(A121,tbl_passenger[PassengerId],0))</f>
        <v>Mrs. John Henry (Sara Elizabeth Lawry) Chapman</v>
      </c>
      <c r="F121" t="str">
        <f>INDEX(tbl_passenger[Sex],MATCH(A121,tbl_passenger[PassengerId],0))</f>
        <v>Female</v>
      </c>
      <c r="G121" t="str">
        <f>IF(tbl_figures[Age]&lt;20, "Teens (0-19)", IF(tbl_figures[Age] &lt;40, "Youth (20-39)", IF(tbl_figures[Age]&lt;60, "Adult (40-59)", IF(tbl_figures[Age]&gt;=60, "Elders (60-Above)"))))</f>
        <v>Youth (20-39)</v>
      </c>
      <c r="H121" s="25">
        <f>IF(ISBLANK(Titanic_raw!F121),$C$423,Titanic_raw!F121)</f>
        <v>29</v>
      </c>
      <c r="I121">
        <f>Titanic_raw!G121</f>
        <v>1</v>
      </c>
      <c r="J121">
        <f>Titanic_raw!H121</f>
        <v>0</v>
      </c>
      <c r="K121" t="str">
        <f>Titanic_raw!I121</f>
        <v>SC/AH 29037</v>
      </c>
      <c r="L121" s="26">
        <f>IF(ISBLANK(Titanic_raw!J121),$C$427,Titanic_raw!J121)</f>
        <v>26</v>
      </c>
      <c r="M121">
        <f>Titanic_raw!K121</f>
        <v>0</v>
      </c>
      <c r="N121" t="str">
        <f>IF(Titanic_raw!L121="S","Southampton",IF(Titanic_raw!L121="Q","Queenstown",IF(Titanic_raw!L121="C","Cherbourg")))</f>
        <v>Southampton</v>
      </c>
      <c r="U121" s="6" t="s">
        <v>637</v>
      </c>
      <c r="V121" s="4">
        <v>102</v>
      </c>
    </row>
    <row r="122" spans="1:22" x14ac:dyDescent="0.2">
      <c r="A122" s="18">
        <f>Titanic_raw!A122</f>
        <v>1012</v>
      </c>
      <c r="B122" s="17">
        <f>Titanic_raw!B122</f>
        <v>1</v>
      </c>
      <c r="C122" s="17" t="str">
        <f t="shared" si="1"/>
        <v>Survived</v>
      </c>
      <c r="D122" s="17" t="str">
        <f>CONCATENATE(Titanic_raw!C122, " Class")</f>
        <v>2 Class</v>
      </c>
      <c r="E122" s="19" t="str">
        <f>INDEX(tbl_passenger[Full Name],MATCH(A122,tbl_passenger[PassengerId],0))</f>
        <v>Miss. Bertha J Watt</v>
      </c>
      <c r="F122" t="str">
        <f>INDEX(tbl_passenger[Sex],MATCH(A122,tbl_passenger[PassengerId],0))</f>
        <v>Female</v>
      </c>
      <c r="G122" t="str">
        <f>IF(tbl_figures[Age]&lt;20, "Teens (0-19)", IF(tbl_figures[Age] &lt;40, "Youth (20-39)", IF(tbl_figures[Age]&lt;60, "Adult (40-59)", IF(tbl_figures[Age]&gt;=60, "Elders (60-Above)"))))</f>
        <v>Teens (0-19)</v>
      </c>
      <c r="H122" s="25">
        <f>IF(ISBLANK(Titanic_raw!F122),$C$423,Titanic_raw!F122)</f>
        <v>12</v>
      </c>
      <c r="I122">
        <f>Titanic_raw!G122</f>
        <v>0</v>
      </c>
      <c r="J122">
        <f>Titanic_raw!H122</f>
        <v>0</v>
      </c>
      <c r="K122" t="str">
        <f>Titanic_raw!I122</f>
        <v>C.A. 33595</v>
      </c>
      <c r="L122" s="26">
        <f>IF(ISBLANK(Titanic_raw!J122),$C$427,Titanic_raw!J122)</f>
        <v>15.75</v>
      </c>
      <c r="M122">
        <f>Titanic_raw!K122</f>
        <v>0</v>
      </c>
      <c r="N122" t="str">
        <f>IF(Titanic_raw!L122="S","Southampton",IF(Titanic_raw!L122="Q","Queenstown",IF(Titanic_raw!L122="C","Cherbourg")))</f>
        <v>Southampton</v>
      </c>
      <c r="U122" s="6" t="s">
        <v>638</v>
      </c>
      <c r="V122" s="4">
        <v>46</v>
      </c>
    </row>
    <row r="123" spans="1:22" x14ac:dyDescent="0.2">
      <c r="A123" s="18">
        <f>Titanic_raw!A123</f>
        <v>1013</v>
      </c>
      <c r="B123" s="21">
        <f>Titanic_raw!B123</f>
        <v>0</v>
      </c>
      <c r="C123" s="21" t="str">
        <f t="shared" si="1"/>
        <v>Dead</v>
      </c>
      <c r="D123" s="21" t="str">
        <f>CONCATENATE(Titanic_raw!C123, " Class")</f>
        <v>3 Class</v>
      </c>
      <c r="E123" s="23" t="str">
        <f>INDEX(tbl_passenger[Full Name],MATCH(A123,tbl_passenger[PassengerId],0))</f>
        <v>Mr. John Kiernan</v>
      </c>
      <c r="F123" t="str">
        <f>INDEX(tbl_passenger[Sex],MATCH(A123,tbl_passenger[PassengerId],0))</f>
        <v>Male</v>
      </c>
      <c r="G123" t="str">
        <f>IF(tbl_figures[Age]&lt;20, "Teens (0-19)", IF(tbl_figures[Age] &lt;40, "Youth (20-39)", IF(tbl_figures[Age]&lt;60, "Adult (40-59)", IF(tbl_figures[Age]&gt;=60, "Elders (60-Above)"))))</f>
        <v>Youth (20-39)</v>
      </c>
      <c r="H123" s="25">
        <f>IF(ISBLANK(Titanic_raw!F123),$C$423,Titanic_raw!F123)</f>
        <v>30.272590325616491</v>
      </c>
      <c r="I123">
        <f>Titanic_raw!G123</f>
        <v>1</v>
      </c>
      <c r="J123">
        <f>Titanic_raw!H123</f>
        <v>0</v>
      </c>
      <c r="K123">
        <f>Titanic_raw!I123</f>
        <v>367227</v>
      </c>
      <c r="L123" s="26">
        <f>IF(ISBLANK(Titanic_raw!J123),$C$427,Titanic_raw!J123)</f>
        <v>7.75</v>
      </c>
      <c r="M123">
        <f>Titanic_raw!K123</f>
        <v>0</v>
      </c>
      <c r="N123" t="str">
        <f>IF(Titanic_raw!L123="S","Southampton",IF(Titanic_raw!L123="Q","Queenstown",IF(Titanic_raw!L123="C","Cherbourg")))</f>
        <v>Queenstown</v>
      </c>
      <c r="U123" s="6" t="s">
        <v>631</v>
      </c>
      <c r="V123" s="4">
        <v>418</v>
      </c>
    </row>
    <row r="124" spans="1:22" x14ac:dyDescent="0.2">
      <c r="A124" s="18">
        <f>Titanic_raw!A124</f>
        <v>1014</v>
      </c>
      <c r="B124" s="17">
        <f>Titanic_raw!B124</f>
        <v>1</v>
      </c>
      <c r="C124" s="17" t="str">
        <f t="shared" si="1"/>
        <v>Survived</v>
      </c>
      <c r="D124" s="17" t="str">
        <f>CONCATENATE(Titanic_raw!C124, " Class")</f>
        <v>1 Class</v>
      </c>
      <c r="E124" s="19" t="str">
        <f>INDEX(tbl_passenger[Full Name],MATCH(A124,tbl_passenger[PassengerId],0))</f>
        <v>Mrs. Paul (Emma Mock) Schabert</v>
      </c>
      <c r="F124" t="str">
        <f>INDEX(tbl_passenger[Sex],MATCH(A124,tbl_passenger[PassengerId],0))</f>
        <v>Female</v>
      </c>
      <c r="G124" t="str">
        <f>IF(tbl_figures[Age]&lt;20, "Teens (0-19)", IF(tbl_figures[Age] &lt;40, "Youth (20-39)", IF(tbl_figures[Age]&lt;60, "Adult (40-59)", IF(tbl_figures[Age]&gt;=60, "Elders (60-Above)"))))</f>
        <v>Youth (20-39)</v>
      </c>
      <c r="H124" s="25">
        <f>IF(ISBLANK(Titanic_raw!F124),$C$423,Titanic_raw!F124)</f>
        <v>35</v>
      </c>
      <c r="I124">
        <f>Titanic_raw!G124</f>
        <v>1</v>
      </c>
      <c r="J124">
        <f>Titanic_raw!H124</f>
        <v>0</v>
      </c>
      <c r="K124">
        <f>Titanic_raw!I124</f>
        <v>13236</v>
      </c>
      <c r="L124" s="26">
        <f>IF(ISBLANK(Titanic_raw!J124),$C$427,Titanic_raw!J124)</f>
        <v>57.75</v>
      </c>
      <c r="M124" t="str">
        <f>Titanic_raw!K124</f>
        <v>C28</v>
      </c>
      <c r="N124" t="str">
        <f>IF(Titanic_raw!L124="S","Southampton",IF(Titanic_raw!L124="Q","Queenstown",IF(Titanic_raw!L124="C","Cherbourg")))</f>
        <v>Cherbourg</v>
      </c>
    </row>
    <row r="125" spans="1:22" x14ac:dyDescent="0.2">
      <c r="A125" s="18">
        <f>Titanic_raw!A125</f>
        <v>1015</v>
      </c>
      <c r="B125" s="21">
        <f>Titanic_raw!B125</f>
        <v>0</v>
      </c>
      <c r="C125" s="21" t="str">
        <f t="shared" si="1"/>
        <v>Dead</v>
      </c>
      <c r="D125" s="21" t="str">
        <f>CONCATENATE(Titanic_raw!C125, " Class")</f>
        <v>3 Class</v>
      </c>
      <c r="E125" s="23" t="str">
        <f>INDEX(tbl_passenger[Full Name],MATCH(A125,tbl_passenger[PassengerId],0))</f>
        <v>Mr. Alfred John Carver</v>
      </c>
      <c r="F125" t="str">
        <f>INDEX(tbl_passenger[Sex],MATCH(A125,tbl_passenger[PassengerId],0))</f>
        <v>Male</v>
      </c>
      <c r="G125" t="str">
        <f>IF(tbl_figures[Age]&lt;20, "Teens (0-19)", IF(tbl_figures[Age] &lt;40, "Youth (20-39)", IF(tbl_figures[Age]&lt;60, "Adult (40-59)", IF(tbl_figures[Age]&gt;=60, "Elders (60-Above)"))))</f>
        <v>Youth (20-39)</v>
      </c>
      <c r="H125" s="25">
        <f>IF(ISBLANK(Titanic_raw!F125),$C$423,Titanic_raw!F125)</f>
        <v>28</v>
      </c>
      <c r="I125">
        <f>Titanic_raw!G125</f>
        <v>0</v>
      </c>
      <c r="J125">
        <f>Titanic_raw!H125</f>
        <v>0</v>
      </c>
      <c r="K125">
        <f>Titanic_raw!I125</f>
        <v>392095</v>
      </c>
      <c r="L125" s="26">
        <f>IF(ISBLANK(Titanic_raw!J125),$C$427,Titanic_raw!J125)</f>
        <v>7.25</v>
      </c>
      <c r="M125">
        <f>Titanic_raw!K125</f>
        <v>0</v>
      </c>
      <c r="N125" t="str">
        <f>IF(Titanic_raw!L125="S","Southampton",IF(Titanic_raw!L125="Q","Queenstown",IF(Titanic_raw!L125="C","Cherbourg")))</f>
        <v>Southampton</v>
      </c>
    </row>
    <row r="126" spans="1:22" x14ac:dyDescent="0.2">
      <c r="A126" s="18">
        <f>Titanic_raw!A126</f>
        <v>1016</v>
      </c>
      <c r="B126" s="17">
        <f>Titanic_raw!B126</f>
        <v>0</v>
      </c>
      <c r="C126" s="17" t="str">
        <f t="shared" si="1"/>
        <v>Dead</v>
      </c>
      <c r="D126" s="17" t="str">
        <f>CONCATENATE(Titanic_raw!C126, " Class")</f>
        <v>3 Class</v>
      </c>
      <c r="E126" s="19" t="str">
        <f>INDEX(tbl_passenger[Full Name],MATCH(A126,tbl_passenger[PassengerId],0))</f>
        <v>Mr. John Kennedy</v>
      </c>
      <c r="F126" t="str">
        <f>INDEX(tbl_passenger[Sex],MATCH(A126,tbl_passenger[PassengerId],0))</f>
        <v>Male</v>
      </c>
      <c r="G126" t="str">
        <f>IF(tbl_figures[Age]&lt;20, "Teens (0-19)", IF(tbl_figures[Age] &lt;40, "Youth (20-39)", IF(tbl_figures[Age]&lt;60, "Adult (40-59)", IF(tbl_figures[Age]&gt;=60, "Elders (60-Above)"))))</f>
        <v>Youth (20-39)</v>
      </c>
      <c r="H126" s="25">
        <f>IF(ISBLANK(Titanic_raw!F126),$C$423,Titanic_raw!F126)</f>
        <v>30.272590325616491</v>
      </c>
      <c r="I126">
        <f>Titanic_raw!G126</f>
        <v>0</v>
      </c>
      <c r="J126">
        <f>Titanic_raw!H126</f>
        <v>0</v>
      </c>
      <c r="K126">
        <f>Titanic_raw!I126</f>
        <v>368783</v>
      </c>
      <c r="L126" s="26">
        <f>IF(ISBLANK(Titanic_raw!J126),$C$427,Titanic_raw!J126)</f>
        <v>7.75</v>
      </c>
      <c r="M126">
        <f>Titanic_raw!K126</f>
        <v>0</v>
      </c>
      <c r="N126" t="str">
        <f>IF(Titanic_raw!L126="S","Southampton",IF(Titanic_raw!L126="Q","Queenstown",IF(Titanic_raw!L126="C","Cherbourg")))</f>
        <v>Queenstown</v>
      </c>
    </row>
    <row r="127" spans="1:22" x14ac:dyDescent="0.2">
      <c r="A127" s="18">
        <f>Titanic_raw!A127</f>
        <v>1017</v>
      </c>
      <c r="B127" s="21">
        <f>Titanic_raw!B127</f>
        <v>1</v>
      </c>
      <c r="C127" s="21" t="str">
        <f t="shared" si="1"/>
        <v>Survived</v>
      </c>
      <c r="D127" s="21" t="str">
        <f>CONCATENATE(Titanic_raw!C127, " Class")</f>
        <v>3 Class</v>
      </c>
      <c r="E127" s="23" t="str">
        <f>INDEX(tbl_passenger[Full Name],MATCH(A127,tbl_passenger[PassengerId],0))</f>
        <v>Miss. Laura Alice Cribb</v>
      </c>
      <c r="F127" t="str">
        <f>INDEX(tbl_passenger[Sex],MATCH(A127,tbl_passenger[PassengerId],0))</f>
        <v>Female</v>
      </c>
      <c r="G127" t="str">
        <f>IF(tbl_figures[Age]&lt;20, "Teens (0-19)", IF(tbl_figures[Age] &lt;40, "Youth (20-39)", IF(tbl_figures[Age]&lt;60, "Adult (40-59)", IF(tbl_figures[Age]&gt;=60, "Elders (60-Above)"))))</f>
        <v>Teens (0-19)</v>
      </c>
      <c r="H127" s="25">
        <f>IF(ISBLANK(Titanic_raw!F127),$C$423,Titanic_raw!F127)</f>
        <v>17</v>
      </c>
      <c r="I127">
        <f>Titanic_raw!G127</f>
        <v>0</v>
      </c>
      <c r="J127">
        <f>Titanic_raw!H127</f>
        <v>1</v>
      </c>
      <c r="K127">
        <f>Titanic_raw!I127</f>
        <v>371362</v>
      </c>
      <c r="L127" s="26">
        <f>IF(ISBLANK(Titanic_raw!J127),$C$427,Titanic_raw!J127)</f>
        <v>16.100000000000001</v>
      </c>
      <c r="M127">
        <f>Titanic_raw!K127</f>
        <v>0</v>
      </c>
      <c r="N127" t="str">
        <f>IF(Titanic_raw!L127="S","Southampton",IF(Titanic_raw!L127="Q","Queenstown",IF(Titanic_raw!L127="C","Cherbourg")))</f>
        <v>Southampton</v>
      </c>
    </row>
    <row r="128" spans="1:22" x14ac:dyDescent="0.2">
      <c r="A128" s="18">
        <f>Titanic_raw!A128</f>
        <v>1018</v>
      </c>
      <c r="B128" s="17">
        <f>Titanic_raw!B128</f>
        <v>0</v>
      </c>
      <c r="C128" s="17" t="str">
        <f t="shared" si="1"/>
        <v>Dead</v>
      </c>
      <c r="D128" s="17" t="str">
        <f>CONCATENATE(Titanic_raw!C128, " Class")</f>
        <v>3 Class</v>
      </c>
      <c r="E128" s="19" t="str">
        <f>INDEX(tbl_passenger[Full Name],MATCH(A128,tbl_passenger[PassengerId],0))</f>
        <v>Mr. Karl Rudolf Brobeck</v>
      </c>
      <c r="F128" t="str">
        <f>INDEX(tbl_passenger[Sex],MATCH(A128,tbl_passenger[PassengerId],0))</f>
        <v>Male</v>
      </c>
      <c r="G128" t="str">
        <f>IF(tbl_figures[Age]&lt;20, "Teens (0-19)", IF(tbl_figures[Age] &lt;40, "Youth (20-39)", IF(tbl_figures[Age]&lt;60, "Adult (40-59)", IF(tbl_figures[Age]&gt;=60, "Elders (60-Above)"))))</f>
        <v>Youth (20-39)</v>
      </c>
      <c r="H128" s="25">
        <f>IF(ISBLANK(Titanic_raw!F128),$C$423,Titanic_raw!F128)</f>
        <v>22</v>
      </c>
      <c r="I128">
        <f>Titanic_raw!G128</f>
        <v>0</v>
      </c>
      <c r="J128">
        <f>Titanic_raw!H128</f>
        <v>0</v>
      </c>
      <c r="K128">
        <f>Titanic_raw!I128</f>
        <v>350045</v>
      </c>
      <c r="L128" s="26">
        <f>IF(ISBLANK(Titanic_raw!J128),$C$427,Titanic_raw!J128)</f>
        <v>7.7957999999999998</v>
      </c>
      <c r="M128">
        <f>Titanic_raw!K128</f>
        <v>0</v>
      </c>
      <c r="N128" t="str">
        <f>IF(Titanic_raw!L128="S","Southampton",IF(Titanic_raw!L128="Q","Queenstown",IF(Titanic_raw!L128="C","Cherbourg")))</f>
        <v>Southampton</v>
      </c>
    </row>
    <row r="129" spans="1:23" x14ac:dyDescent="0.2">
      <c r="A129" s="18">
        <f>Titanic_raw!A129</f>
        <v>1019</v>
      </c>
      <c r="B129" s="21">
        <f>Titanic_raw!B129</f>
        <v>1</v>
      </c>
      <c r="C129" s="21" t="str">
        <f t="shared" si="1"/>
        <v>Survived</v>
      </c>
      <c r="D129" s="21" t="str">
        <f>CONCATENATE(Titanic_raw!C129, " Class")</f>
        <v>3 Class</v>
      </c>
      <c r="E129" s="23" t="str">
        <f>INDEX(tbl_passenger[Full Name],MATCH(A129,tbl_passenger[PassengerId],0))</f>
        <v>Miss. Alicia McCoy</v>
      </c>
      <c r="F129" t="str">
        <f>INDEX(tbl_passenger[Sex],MATCH(A129,tbl_passenger[PassengerId],0))</f>
        <v>Female</v>
      </c>
      <c r="G129" t="str">
        <f>IF(tbl_figures[Age]&lt;20, "Teens (0-19)", IF(tbl_figures[Age] &lt;40, "Youth (20-39)", IF(tbl_figures[Age]&lt;60, "Adult (40-59)", IF(tbl_figures[Age]&gt;=60, "Elders (60-Above)"))))</f>
        <v>Youth (20-39)</v>
      </c>
      <c r="H129" s="25">
        <f>IF(ISBLANK(Titanic_raw!F129),$C$423,Titanic_raw!F129)</f>
        <v>30.272590325616491</v>
      </c>
      <c r="I129">
        <f>Titanic_raw!G129</f>
        <v>2</v>
      </c>
      <c r="J129">
        <f>Titanic_raw!H129</f>
        <v>0</v>
      </c>
      <c r="K129">
        <f>Titanic_raw!I129</f>
        <v>367226</v>
      </c>
      <c r="L129" s="26">
        <f>IF(ISBLANK(Titanic_raw!J129),$C$427,Titanic_raw!J129)</f>
        <v>23.25</v>
      </c>
      <c r="M129">
        <f>Titanic_raw!K129</f>
        <v>0</v>
      </c>
      <c r="N129" t="str">
        <f>IF(Titanic_raw!L129="S","Southampton",IF(Titanic_raw!L129="Q","Queenstown",IF(Titanic_raw!L129="C","Cherbourg")))</f>
        <v>Queenstown</v>
      </c>
    </row>
    <row r="130" spans="1:23" x14ac:dyDescent="0.2">
      <c r="A130" s="18">
        <f>Titanic_raw!A130</f>
        <v>1020</v>
      </c>
      <c r="B130" s="17">
        <f>Titanic_raw!B130</f>
        <v>0</v>
      </c>
      <c r="C130" s="17" t="str">
        <f t="shared" ref="C130:C193" si="2">IF(B130=0,"Dead","Survived")</f>
        <v>Dead</v>
      </c>
      <c r="D130" s="17" t="str">
        <f>CONCATENATE(Titanic_raw!C130, " Class")</f>
        <v>2 Class</v>
      </c>
      <c r="E130" s="19" t="str">
        <f>INDEX(tbl_passenger[Full Name],MATCH(A130,tbl_passenger[PassengerId],0))</f>
        <v>Mr. Solomon Bowenur</v>
      </c>
      <c r="F130" t="str">
        <f>INDEX(tbl_passenger[Sex],MATCH(A130,tbl_passenger[PassengerId],0))</f>
        <v>Male</v>
      </c>
      <c r="G130" t="str">
        <f>IF(tbl_figures[Age]&lt;20, "Teens (0-19)", IF(tbl_figures[Age] &lt;40, "Youth (20-39)", IF(tbl_figures[Age]&lt;60, "Adult (40-59)", IF(tbl_figures[Age]&gt;=60, "Elders (60-Above)"))))</f>
        <v>Adult (40-59)</v>
      </c>
      <c r="H130" s="25">
        <f>IF(ISBLANK(Titanic_raw!F130),$C$423,Titanic_raw!F130)</f>
        <v>42</v>
      </c>
      <c r="I130">
        <f>Titanic_raw!G130</f>
        <v>0</v>
      </c>
      <c r="J130">
        <f>Titanic_raw!H130</f>
        <v>0</v>
      </c>
      <c r="K130">
        <f>Titanic_raw!I130</f>
        <v>211535</v>
      </c>
      <c r="L130" s="26">
        <f>IF(ISBLANK(Titanic_raw!J130),$C$427,Titanic_raw!J130)</f>
        <v>13</v>
      </c>
      <c r="M130">
        <f>Titanic_raw!K130</f>
        <v>0</v>
      </c>
      <c r="N130" t="str">
        <f>IF(Titanic_raw!L130="S","Southampton",IF(Titanic_raw!L130="Q","Queenstown",IF(Titanic_raw!L130="C","Cherbourg")))</f>
        <v>Southampton</v>
      </c>
    </row>
    <row r="131" spans="1:23" x14ac:dyDescent="0.2">
      <c r="A131" s="18">
        <f>Titanic_raw!A131</f>
        <v>1021</v>
      </c>
      <c r="B131" s="21">
        <f>Titanic_raw!B131</f>
        <v>0</v>
      </c>
      <c r="C131" s="21" t="str">
        <f t="shared" si="2"/>
        <v>Dead</v>
      </c>
      <c r="D131" s="21" t="str">
        <f>CONCATENATE(Titanic_raw!C131, " Class")</f>
        <v>3 Class</v>
      </c>
      <c r="E131" s="23" t="str">
        <f>INDEX(tbl_passenger[Full Name],MATCH(A131,tbl_passenger[PassengerId],0))</f>
        <v>Mr. Marius Petersen</v>
      </c>
      <c r="F131" t="str">
        <f>INDEX(tbl_passenger[Sex],MATCH(A131,tbl_passenger[PassengerId],0))</f>
        <v>Male</v>
      </c>
      <c r="G131" t="str">
        <f>IF(tbl_figures[Age]&lt;20, "Teens (0-19)", IF(tbl_figures[Age] &lt;40, "Youth (20-39)", IF(tbl_figures[Age]&lt;60, "Adult (40-59)", IF(tbl_figures[Age]&gt;=60, "Elders (60-Above)"))))</f>
        <v>Youth (20-39)</v>
      </c>
      <c r="H131" s="25">
        <f>IF(ISBLANK(Titanic_raw!F131),$C$423,Titanic_raw!F131)</f>
        <v>24</v>
      </c>
      <c r="I131">
        <f>Titanic_raw!G131</f>
        <v>0</v>
      </c>
      <c r="J131">
        <f>Titanic_raw!H131</f>
        <v>0</v>
      </c>
      <c r="K131">
        <f>Titanic_raw!I131</f>
        <v>342441</v>
      </c>
      <c r="L131" s="26">
        <f>IF(ISBLANK(Titanic_raw!J131),$C$427,Titanic_raw!J131)</f>
        <v>8.0500000000000007</v>
      </c>
      <c r="M131">
        <f>Titanic_raw!K131</f>
        <v>0</v>
      </c>
      <c r="N131" t="str">
        <f>IF(Titanic_raw!L131="S","Southampton",IF(Titanic_raw!L131="Q","Queenstown",IF(Titanic_raw!L131="C","Cherbourg")))</f>
        <v>Southampton</v>
      </c>
    </row>
    <row r="132" spans="1:23" x14ac:dyDescent="0.2">
      <c r="A132" s="18">
        <f>Titanic_raw!A132</f>
        <v>1022</v>
      </c>
      <c r="B132" s="17">
        <f>Titanic_raw!B132</f>
        <v>0</v>
      </c>
      <c r="C132" s="17" t="str">
        <f t="shared" si="2"/>
        <v>Dead</v>
      </c>
      <c r="D132" s="17" t="str">
        <f>CONCATENATE(Titanic_raw!C132, " Class")</f>
        <v>3 Class</v>
      </c>
      <c r="E132" s="19" t="str">
        <f>INDEX(tbl_passenger[Full Name],MATCH(A132,tbl_passenger[PassengerId],0))</f>
        <v>Mr. Henry John Spinner</v>
      </c>
      <c r="F132" t="str">
        <f>INDEX(tbl_passenger[Sex],MATCH(A132,tbl_passenger[PassengerId],0))</f>
        <v>Male</v>
      </c>
      <c r="G132" t="str">
        <f>IF(tbl_figures[Age]&lt;20, "Teens (0-19)", IF(tbl_figures[Age] &lt;40, "Youth (20-39)", IF(tbl_figures[Age]&lt;60, "Adult (40-59)", IF(tbl_figures[Age]&gt;=60, "Elders (60-Above)"))))</f>
        <v>Youth (20-39)</v>
      </c>
      <c r="H132" s="25">
        <f>IF(ISBLANK(Titanic_raw!F132),$C$423,Titanic_raw!F132)</f>
        <v>32</v>
      </c>
      <c r="I132">
        <f>Titanic_raw!G132</f>
        <v>0</v>
      </c>
      <c r="J132">
        <f>Titanic_raw!H132</f>
        <v>0</v>
      </c>
      <c r="K132" t="str">
        <f>Titanic_raw!I132</f>
        <v>STON/OQ. 369943</v>
      </c>
      <c r="L132" s="26">
        <f>IF(ISBLANK(Titanic_raw!J132),$C$427,Titanic_raw!J132)</f>
        <v>8.0500000000000007</v>
      </c>
      <c r="M132">
        <f>Titanic_raw!K132</f>
        <v>0</v>
      </c>
      <c r="N132" t="str">
        <f>IF(Titanic_raw!L132="S","Southampton",IF(Titanic_raw!L132="Q","Queenstown",IF(Titanic_raw!L132="C","Cherbourg")))</f>
        <v>Southampton</v>
      </c>
    </row>
    <row r="133" spans="1:23" x14ac:dyDescent="0.2">
      <c r="A133" s="18">
        <f>Titanic_raw!A133</f>
        <v>1023</v>
      </c>
      <c r="B133" s="21">
        <f>Titanic_raw!B133</f>
        <v>0</v>
      </c>
      <c r="C133" s="21" t="str">
        <f t="shared" si="2"/>
        <v>Dead</v>
      </c>
      <c r="D133" s="21" t="str">
        <f>CONCATENATE(Titanic_raw!C133, " Class")</f>
        <v>1 Class</v>
      </c>
      <c r="E133" s="23" t="str">
        <f>INDEX(tbl_passenger[Full Name],MATCH(A133,tbl_passenger[PassengerId],0))</f>
        <v>Col. Archibald IV Gracie</v>
      </c>
      <c r="F133" t="str">
        <f>INDEX(tbl_passenger[Sex],MATCH(A133,tbl_passenger[PassengerId],0))</f>
        <v>Male</v>
      </c>
      <c r="G133" t="str">
        <f>IF(tbl_figures[Age]&lt;20, "Teens (0-19)", IF(tbl_figures[Age] &lt;40, "Youth (20-39)", IF(tbl_figures[Age]&lt;60, "Adult (40-59)", IF(tbl_figures[Age]&gt;=60, "Elders (60-Above)"))))</f>
        <v>Adult (40-59)</v>
      </c>
      <c r="H133" s="25">
        <f>IF(ISBLANK(Titanic_raw!F133),$C$423,Titanic_raw!F133)</f>
        <v>53</v>
      </c>
      <c r="I133">
        <f>Titanic_raw!G133</f>
        <v>0</v>
      </c>
      <c r="J133">
        <f>Titanic_raw!H133</f>
        <v>0</v>
      </c>
      <c r="K133">
        <f>Titanic_raw!I133</f>
        <v>113780</v>
      </c>
      <c r="L133" s="26">
        <f>IF(ISBLANK(Titanic_raw!J133),$C$427,Titanic_raw!J133)</f>
        <v>28.5</v>
      </c>
      <c r="M133" t="str">
        <f>Titanic_raw!K133</f>
        <v>C51</v>
      </c>
      <c r="N133" t="str">
        <f>IF(Titanic_raw!L133="S","Southampton",IF(Titanic_raw!L133="Q","Queenstown",IF(Titanic_raw!L133="C","Cherbourg")))</f>
        <v>Cherbourg</v>
      </c>
    </row>
    <row r="134" spans="1:23" x14ac:dyDescent="0.2">
      <c r="A134" s="18">
        <f>Titanic_raw!A134</f>
        <v>1024</v>
      </c>
      <c r="B134" s="17">
        <f>Titanic_raw!B134</f>
        <v>1</v>
      </c>
      <c r="C134" s="17" t="str">
        <f t="shared" si="2"/>
        <v>Survived</v>
      </c>
      <c r="D134" s="17" t="str">
        <f>CONCATENATE(Titanic_raw!C134, " Class")</f>
        <v>3 Class</v>
      </c>
      <c r="E134" s="19" t="str">
        <f>INDEX(tbl_passenger[Full Name],MATCH(A134,tbl_passenger[PassengerId],0))</f>
        <v>Mrs. Frank (Frances) Lefebre</v>
      </c>
      <c r="F134" t="str">
        <f>INDEX(tbl_passenger[Sex],MATCH(A134,tbl_passenger[PassengerId],0))</f>
        <v>Female</v>
      </c>
      <c r="G134" t="str">
        <f>IF(tbl_figures[Age]&lt;20, "Teens (0-19)", IF(tbl_figures[Age] &lt;40, "Youth (20-39)", IF(tbl_figures[Age]&lt;60, "Adult (40-59)", IF(tbl_figures[Age]&gt;=60, "Elders (60-Above)"))))</f>
        <v>Youth (20-39)</v>
      </c>
      <c r="H134" s="25">
        <f>IF(ISBLANK(Titanic_raw!F134),$C$423,Titanic_raw!F134)</f>
        <v>30.272590325616491</v>
      </c>
      <c r="I134">
        <f>Titanic_raw!G134</f>
        <v>0</v>
      </c>
      <c r="J134">
        <f>Titanic_raw!H134</f>
        <v>4</v>
      </c>
      <c r="K134">
        <f>Titanic_raw!I134</f>
        <v>4133</v>
      </c>
      <c r="L134" s="26">
        <f>IF(ISBLANK(Titanic_raw!J134),$C$427,Titanic_raw!J134)</f>
        <v>25.466699999999999</v>
      </c>
      <c r="M134">
        <f>Titanic_raw!K134</f>
        <v>0</v>
      </c>
      <c r="N134" t="str">
        <f>IF(Titanic_raw!L134="S","Southampton",IF(Titanic_raw!L134="Q","Queenstown",IF(Titanic_raw!L134="C","Cherbourg")))</f>
        <v>Southampton</v>
      </c>
    </row>
    <row r="135" spans="1:23" x14ac:dyDescent="0.2">
      <c r="A135" s="18">
        <f>Titanic_raw!A135</f>
        <v>1025</v>
      </c>
      <c r="B135" s="21">
        <f>Titanic_raw!B135</f>
        <v>0</v>
      </c>
      <c r="C135" s="21" t="str">
        <f t="shared" si="2"/>
        <v>Dead</v>
      </c>
      <c r="D135" s="21" t="str">
        <f>CONCATENATE(Titanic_raw!C135, " Class")</f>
        <v>3 Class</v>
      </c>
      <c r="E135" s="23" t="str">
        <f>INDEX(tbl_passenger[Full Name],MATCH(A135,tbl_passenger[PassengerId],0))</f>
        <v>Mr. Charles P Thomas</v>
      </c>
      <c r="F135" t="str">
        <f>INDEX(tbl_passenger[Sex],MATCH(A135,tbl_passenger[PassengerId],0))</f>
        <v>Male</v>
      </c>
      <c r="G135" t="str">
        <f>IF(tbl_figures[Age]&lt;20, "Teens (0-19)", IF(tbl_figures[Age] &lt;40, "Youth (20-39)", IF(tbl_figures[Age]&lt;60, "Adult (40-59)", IF(tbl_figures[Age]&gt;=60, "Elders (60-Above)"))))</f>
        <v>Youth (20-39)</v>
      </c>
      <c r="H135" s="25">
        <f>IF(ISBLANK(Titanic_raw!F135),$C$423,Titanic_raw!F135)</f>
        <v>30.272590325616491</v>
      </c>
      <c r="I135">
        <f>Titanic_raw!G135</f>
        <v>1</v>
      </c>
      <c r="J135">
        <f>Titanic_raw!H135</f>
        <v>0</v>
      </c>
      <c r="K135">
        <f>Titanic_raw!I135</f>
        <v>2621</v>
      </c>
      <c r="L135" s="26">
        <f>IF(ISBLANK(Titanic_raw!J135),$C$427,Titanic_raw!J135)</f>
        <v>6.4375</v>
      </c>
      <c r="M135">
        <f>Titanic_raw!K135</f>
        <v>0</v>
      </c>
      <c r="N135" t="str">
        <f>IF(Titanic_raw!L135="S","Southampton",IF(Titanic_raw!L135="Q","Queenstown",IF(Titanic_raw!L135="C","Cherbourg")))</f>
        <v>Cherbourg</v>
      </c>
    </row>
    <row r="136" spans="1:23" x14ac:dyDescent="0.2">
      <c r="A136" s="18">
        <f>Titanic_raw!A136</f>
        <v>1026</v>
      </c>
      <c r="B136" s="17">
        <f>Titanic_raw!B136</f>
        <v>0</v>
      </c>
      <c r="C136" s="17" t="str">
        <f t="shared" si="2"/>
        <v>Dead</v>
      </c>
      <c r="D136" s="17" t="str">
        <f>CONCATENATE(Titanic_raw!C136, " Class")</f>
        <v>3 Class</v>
      </c>
      <c r="E136" s="19" t="str">
        <f>INDEX(tbl_passenger[Full Name],MATCH(A136,tbl_passenger[PassengerId],0))</f>
        <v>Mr. Valtcho Dintcheff</v>
      </c>
      <c r="F136" t="str">
        <f>INDEX(tbl_passenger[Sex],MATCH(A136,tbl_passenger[PassengerId],0))</f>
        <v>Male</v>
      </c>
      <c r="G136" t="str">
        <f>IF(tbl_figures[Age]&lt;20, "Teens (0-19)", IF(tbl_figures[Age] &lt;40, "Youth (20-39)", IF(tbl_figures[Age]&lt;60, "Adult (40-59)", IF(tbl_figures[Age]&gt;=60, "Elders (60-Above)"))))</f>
        <v>Adult (40-59)</v>
      </c>
      <c r="H136" s="25">
        <f>IF(ISBLANK(Titanic_raw!F136),$C$423,Titanic_raw!F136)</f>
        <v>43</v>
      </c>
      <c r="I136">
        <f>Titanic_raw!G136</f>
        <v>0</v>
      </c>
      <c r="J136">
        <f>Titanic_raw!H136</f>
        <v>0</v>
      </c>
      <c r="K136">
        <f>Titanic_raw!I136</f>
        <v>349226</v>
      </c>
      <c r="L136" s="26">
        <f>IF(ISBLANK(Titanic_raw!J136),$C$427,Titanic_raw!J136)</f>
        <v>7.8958000000000004</v>
      </c>
      <c r="M136">
        <f>Titanic_raw!K136</f>
        <v>0</v>
      </c>
      <c r="N136" t="str">
        <f>IF(Titanic_raw!L136="S","Southampton",IF(Titanic_raw!L136="Q","Queenstown",IF(Titanic_raw!L136="C","Cherbourg")))</f>
        <v>Southampton</v>
      </c>
    </row>
    <row r="137" spans="1:23" x14ac:dyDescent="0.2">
      <c r="A137" s="18">
        <f>Titanic_raw!A137</f>
        <v>1027</v>
      </c>
      <c r="B137" s="21">
        <f>Titanic_raw!B137</f>
        <v>0</v>
      </c>
      <c r="C137" s="21" t="str">
        <f t="shared" si="2"/>
        <v>Dead</v>
      </c>
      <c r="D137" s="21" t="str">
        <f>CONCATENATE(Titanic_raw!C137, " Class")</f>
        <v>3 Class</v>
      </c>
      <c r="E137" s="23" t="str">
        <f>INDEX(tbl_passenger[Full Name],MATCH(A137,tbl_passenger[PassengerId],0))</f>
        <v>Mr. Carl Robert Carlsson</v>
      </c>
      <c r="F137" t="str">
        <f>INDEX(tbl_passenger[Sex],MATCH(A137,tbl_passenger[PassengerId],0))</f>
        <v>Male</v>
      </c>
      <c r="G137" t="str">
        <f>IF(tbl_figures[Age]&lt;20, "Teens (0-19)", IF(tbl_figures[Age] &lt;40, "Youth (20-39)", IF(tbl_figures[Age]&lt;60, "Adult (40-59)", IF(tbl_figures[Age]&gt;=60, "Elders (60-Above)"))))</f>
        <v>Youth (20-39)</v>
      </c>
      <c r="H137" s="25">
        <f>IF(ISBLANK(Titanic_raw!F137),$C$423,Titanic_raw!F137)</f>
        <v>24</v>
      </c>
      <c r="I137">
        <f>Titanic_raw!G137</f>
        <v>0</v>
      </c>
      <c r="J137">
        <f>Titanic_raw!H137</f>
        <v>0</v>
      </c>
      <c r="K137">
        <f>Titanic_raw!I137</f>
        <v>350409</v>
      </c>
      <c r="L137" s="26">
        <f>IF(ISBLANK(Titanic_raw!J137),$C$427,Titanic_raw!J137)</f>
        <v>7.8541999999999996</v>
      </c>
      <c r="M137">
        <f>Titanic_raw!K137</f>
        <v>0</v>
      </c>
      <c r="N137" t="str">
        <f>IF(Titanic_raw!L137="S","Southampton",IF(Titanic_raw!L137="Q","Queenstown",IF(Titanic_raw!L137="C","Cherbourg")))</f>
        <v>Southampton</v>
      </c>
      <c r="U137" t="s">
        <v>673</v>
      </c>
    </row>
    <row r="138" spans="1:23" x14ac:dyDescent="0.2">
      <c r="A138" s="18">
        <f>Titanic_raw!A138</f>
        <v>1028</v>
      </c>
      <c r="B138" s="17">
        <f>Titanic_raw!B138</f>
        <v>0</v>
      </c>
      <c r="C138" s="17" t="str">
        <f t="shared" si="2"/>
        <v>Dead</v>
      </c>
      <c r="D138" s="17" t="str">
        <f>CONCATENATE(Titanic_raw!C138, " Class")</f>
        <v>3 Class</v>
      </c>
      <c r="E138" s="19" t="str">
        <f>INDEX(tbl_passenger[Full Name],MATCH(A138,tbl_passenger[PassengerId],0))</f>
        <v>Mr. Mapriededer Zakarian</v>
      </c>
      <c r="F138" t="str">
        <f>INDEX(tbl_passenger[Sex],MATCH(A138,tbl_passenger[PassengerId],0))</f>
        <v>Male</v>
      </c>
      <c r="G138" t="str">
        <f>IF(tbl_figures[Age]&lt;20, "Teens (0-19)", IF(tbl_figures[Age] &lt;40, "Youth (20-39)", IF(tbl_figures[Age]&lt;60, "Adult (40-59)", IF(tbl_figures[Age]&gt;=60, "Elders (60-Above)"))))</f>
        <v>Youth (20-39)</v>
      </c>
      <c r="H138" s="25">
        <f>IF(ISBLANK(Titanic_raw!F138),$C$423,Titanic_raw!F138)</f>
        <v>26.5</v>
      </c>
      <c r="I138">
        <f>Titanic_raw!G138</f>
        <v>0</v>
      </c>
      <c r="J138">
        <f>Titanic_raw!H138</f>
        <v>0</v>
      </c>
      <c r="K138">
        <f>Titanic_raw!I138</f>
        <v>2656</v>
      </c>
      <c r="L138" s="26">
        <f>IF(ISBLANK(Titanic_raw!J138),$C$427,Titanic_raw!J138)</f>
        <v>7.2249999999999996</v>
      </c>
      <c r="M138">
        <f>Titanic_raw!K138</f>
        <v>0</v>
      </c>
      <c r="N138" t="str">
        <f>IF(Titanic_raw!L138="S","Southampton",IF(Titanic_raw!L138="Q","Queenstown",IF(Titanic_raw!L138="C","Cherbourg")))</f>
        <v>Cherbourg</v>
      </c>
      <c r="U138" t="s">
        <v>674</v>
      </c>
    </row>
    <row r="139" spans="1:23" x14ac:dyDescent="0.2">
      <c r="A139" s="18">
        <f>Titanic_raw!A139</f>
        <v>1029</v>
      </c>
      <c r="B139" s="21">
        <f>Titanic_raw!B139</f>
        <v>0</v>
      </c>
      <c r="C139" s="21" t="str">
        <f t="shared" si="2"/>
        <v>Dead</v>
      </c>
      <c r="D139" s="21" t="str">
        <f>CONCATENATE(Titanic_raw!C139, " Class")</f>
        <v>2 Class</v>
      </c>
      <c r="E139" s="23" t="str">
        <f>INDEX(tbl_passenger[Full Name],MATCH(A139,tbl_passenger[PassengerId],0))</f>
        <v>Mr. August Schmidt</v>
      </c>
      <c r="F139" t="str">
        <f>INDEX(tbl_passenger[Sex],MATCH(A139,tbl_passenger[PassengerId],0))</f>
        <v>Male</v>
      </c>
      <c r="G139" t="str">
        <f>IF(tbl_figures[Age]&lt;20, "Teens (0-19)", IF(tbl_figures[Age] &lt;40, "Youth (20-39)", IF(tbl_figures[Age]&lt;60, "Adult (40-59)", IF(tbl_figures[Age]&gt;=60, "Elders (60-Above)"))))</f>
        <v>Youth (20-39)</v>
      </c>
      <c r="H139" s="25">
        <f>IF(ISBLANK(Titanic_raw!F139),$C$423,Titanic_raw!F139)</f>
        <v>26</v>
      </c>
      <c r="I139">
        <f>Titanic_raw!G139</f>
        <v>0</v>
      </c>
      <c r="J139">
        <f>Titanic_raw!H139</f>
        <v>0</v>
      </c>
      <c r="K139">
        <f>Titanic_raw!I139</f>
        <v>248659</v>
      </c>
      <c r="L139" s="26">
        <f>IF(ISBLANK(Titanic_raw!J139),$C$427,Titanic_raw!J139)</f>
        <v>13</v>
      </c>
      <c r="M139">
        <f>Titanic_raw!K139</f>
        <v>0</v>
      </c>
      <c r="N139" t="str">
        <f>IF(Titanic_raw!L139="S","Southampton",IF(Titanic_raw!L139="Q","Queenstown",IF(Titanic_raw!L139="C","Cherbourg")))</f>
        <v>Southampton</v>
      </c>
      <c r="U139" t="s">
        <v>675</v>
      </c>
    </row>
    <row r="140" spans="1:23" x14ac:dyDescent="0.2">
      <c r="A140" s="18">
        <f>Titanic_raw!A140</f>
        <v>1030</v>
      </c>
      <c r="B140" s="17">
        <f>Titanic_raw!B140</f>
        <v>1</v>
      </c>
      <c r="C140" s="17" t="str">
        <f t="shared" si="2"/>
        <v>Survived</v>
      </c>
      <c r="D140" s="17" t="str">
        <f>CONCATENATE(Titanic_raw!C140, " Class")</f>
        <v>3 Class</v>
      </c>
      <c r="E140" s="19" t="str">
        <f>INDEX(tbl_passenger[Full Name],MATCH(A140,tbl_passenger[PassengerId],0))</f>
        <v>Miss. Jennie Drapkin</v>
      </c>
      <c r="F140" t="str">
        <f>INDEX(tbl_passenger[Sex],MATCH(A140,tbl_passenger[PassengerId],0))</f>
        <v>Female</v>
      </c>
      <c r="G140" t="str">
        <f>IF(tbl_figures[Age]&lt;20, "Teens (0-19)", IF(tbl_figures[Age] &lt;40, "Youth (20-39)", IF(tbl_figures[Age]&lt;60, "Adult (40-59)", IF(tbl_figures[Age]&gt;=60, "Elders (60-Above)"))))</f>
        <v>Youth (20-39)</v>
      </c>
      <c r="H140" s="25">
        <f>IF(ISBLANK(Titanic_raw!F140),$C$423,Titanic_raw!F140)</f>
        <v>23</v>
      </c>
      <c r="I140">
        <f>Titanic_raw!G140</f>
        <v>0</v>
      </c>
      <c r="J140">
        <f>Titanic_raw!H140</f>
        <v>0</v>
      </c>
      <c r="K140" t="str">
        <f>Titanic_raw!I140</f>
        <v>SOTON/OQ 392083</v>
      </c>
      <c r="L140" s="26">
        <f>IF(ISBLANK(Titanic_raw!J140),$C$427,Titanic_raw!J140)</f>
        <v>8.0500000000000007</v>
      </c>
      <c r="M140">
        <f>Titanic_raw!K140</f>
        <v>0</v>
      </c>
      <c r="N140" t="str">
        <f>IF(Titanic_raw!L140="S","Southampton",IF(Titanic_raw!L140="Q","Queenstown",IF(Titanic_raw!L140="C","Cherbourg")))</f>
        <v>Southampton</v>
      </c>
    </row>
    <row r="141" spans="1:23" x14ac:dyDescent="0.2">
      <c r="A141" s="18">
        <f>Titanic_raw!A141</f>
        <v>1031</v>
      </c>
      <c r="B141" s="21">
        <f>Titanic_raw!B141</f>
        <v>0</v>
      </c>
      <c r="C141" s="21" t="str">
        <f t="shared" si="2"/>
        <v>Dead</v>
      </c>
      <c r="D141" s="21" t="str">
        <f>CONCATENATE(Titanic_raw!C141, " Class")</f>
        <v>3 Class</v>
      </c>
      <c r="E141" s="23" t="str">
        <f>INDEX(tbl_passenger[Full Name],MATCH(A141,tbl_passenger[PassengerId],0))</f>
        <v>Mr. Charles Frederick Goodwin</v>
      </c>
      <c r="F141" t="str">
        <f>INDEX(tbl_passenger[Sex],MATCH(A141,tbl_passenger[PassengerId],0))</f>
        <v>Male</v>
      </c>
      <c r="G141" t="str">
        <f>IF(tbl_figures[Age]&lt;20, "Teens (0-19)", IF(tbl_figures[Age] &lt;40, "Youth (20-39)", IF(tbl_figures[Age]&lt;60, "Adult (40-59)", IF(tbl_figures[Age]&gt;=60, "Elders (60-Above)"))))</f>
        <v>Adult (40-59)</v>
      </c>
      <c r="H141" s="25">
        <f>IF(ISBLANK(Titanic_raw!F141),$C$423,Titanic_raw!F141)</f>
        <v>40</v>
      </c>
      <c r="I141">
        <f>Titanic_raw!G141</f>
        <v>1</v>
      </c>
      <c r="J141">
        <f>Titanic_raw!H141</f>
        <v>6</v>
      </c>
      <c r="K141" t="str">
        <f>Titanic_raw!I141</f>
        <v>CA 2144</v>
      </c>
      <c r="L141" s="26">
        <f>IF(ISBLANK(Titanic_raw!J141),$C$427,Titanic_raw!J141)</f>
        <v>46.9</v>
      </c>
      <c r="M141">
        <f>Titanic_raw!K141</f>
        <v>0</v>
      </c>
      <c r="N141" t="str">
        <f>IF(Titanic_raw!L141="S","Southampton",IF(Titanic_raw!L141="Q","Queenstown",IF(Titanic_raw!L141="C","Cherbourg")))</f>
        <v>Southampton</v>
      </c>
    </row>
    <row r="142" spans="1:23" x14ac:dyDescent="0.2">
      <c r="A142" s="18">
        <f>Titanic_raw!A142</f>
        <v>1032</v>
      </c>
      <c r="B142" s="17">
        <f>Titanic_raw!B142</f>
        <v>1</v>
      </c>
      <c r="C142" s="17" t="str">
        <f t="shared" si="2"/>
        <v>Survived</v>
      </c>
      <c r="D142" s="17" t="str">
        <f>CONCATENATE(Titanic_raw!C142, " Class")</f>
        <v>3 Class</v>
      </c>
      <c r="E142" s="19" t="str">
        <f>INDEX(tbl_passenger[Full Name],MATCH(A142,tbl_passenger[PassengerId],0))</f>
        <v>Miss. Jessie Allis Goodwin</v>
      </c>
      <c r="F142" t="str">
        <f>INDEX(tbl_passenger[Sex],MATCH(A142,tbl_passenger[PassengerId],0))</f>
        <v>Female</v>
      </c>
      <c r="G142" t="str">
        <f>IF(tbl_figures[Age]&lt;20, "Teens (0-19)", IF(tbl_figures[Age] &lt;40, "Youth (20-39)", IF(tbl_figures[Age]&lt;60, "Adult (40-59)", IF(tbl_figures[Age]&gt;=60, "Elders (60-Above)"))))</f>
        <v>Teens (0-19)</v>
      </c>
      <c r="H142" s="25">
        <f>IF(ISBLANK(Titanic_raw!F142),$C$423,Titanic_raw!F142)</f>
        <v>10</v>
      </c>
      <c r="I142">
        <f>Titanic_raw!G142</f>
        <v>5</v>
      </c>
      <c r="J142">
        <f>Titanic_raw!H142</f>
        <v>2</v>
      </c>
      <c r="K142" t="str">
        <f>Titanic_raw!I142</f>
        <v>CA 2144</v>
      </c>
      <c r="L142" s="26">
        <f>IF(ISBLANK(Titanic_raw!J142),$C$427,Titanic_raw!J142)</f>
        <v>46.9</v>
      </c>
      <c r="M142">
        <f>Titanic_raw!K142</f>
        <v>0</v>
      </c>
      <c r="N142" t="str">
        <f>IF(Titanic_raw!L142="S","Southampton",IF(Titanic_raw!L142="Q","Queenstown",IF(Titanic_raw!L142="C","Cherbourg")))</f>
        <v>Southampton</v>
      </c>
    </row>
    <row r="143" spans="1:23" x14ac:dyDescent="0.2">
      <c r="A143" s="18">
        <f>Titanic_raw!A143</f>
        <v>1033</v>
      </c>
      <c r="B143" s="21">
        <f>Titanic_raw!B143</f>
        <v>1</v>
      </c>
      <c r="C143" s="21" t="str">
        <f t="shared" si="2"/>
        <v>Survived</v>
      </c>
      <c r="D143" s="21" t="str">
        <f>CONCATENATE(Titanic_raw!C143, " Class")</f>
        <v>1 Class</v>
      </c>
      <c r="E143" s="23" t="str">
        <f>INDEX(tbl_passenger[Full Name],MATCH(A143,tbl_passenger[PassengerId],0))</f>
        <v>Miss. Sarah Daniels</v>
      </c>
      <c r="F143" t="str">
        <f>INDEX(tbl_passenger[Sex],MATCH(A143,tbl_passenger[PassengerId],0))</f>
        <v>Female</v>
      </c>
      <c r="G143" t="str">
        <f>IF(tbl_figures[Age]&lt;20, "Teens (0-19)", IF(tbl_figures[Age] &lt;40, "Youth (20-39)", IF(tbl_figures[Age]&lt;60, "Adult (40-59)", IF(tbl_figures[Age]&gt;=60, "Elders (60-Above)"))))</f>
        <v>Youth (20-39)</v>
      </c>
      <c r="H143" s="25">
        <f>IF(ISBLANK(Titanic_raw!F143),$C$423,Titanic_raw!F143)</f>
        <v>33</v>
      </c>
      <c r="I143">
        <f>Titanic_raw!G143</f>
        <v>0</v>
      </c>
      <c r="J143">
        <f>Titanic_raw!H143</f>
        <v>0</v>
      </c>
      <c r="K143">
        <f>Titanic_raw!I143</f>
        <v>113781</v>
      </c>
      <c r="L143" s="26">
        <f>IF(ISBLANK(Titanic_raw!J143),$C$427,Titanic_raw!J143)</f>
        <v>151.55000000000001</v>
      </c>
      <c r="M143">
        <f>Titanic_raw!K143</f>
        <v>0</v>
      </c>
      <c r="N143" t="str">
        <f>IF(Titanic_raw!L143="S","Southampton",IF(Titanic_raw!L143="Q","Queenstown",IF(Titanic_raw!L143="C","Cherbourg")))</f>
        <v>Southampton</v>
      </c>
      <c r="T143" t="s">
        <v>676</v>
      </c>
      <c r="U143" s="5" t="s">
        <v>633</v>
      </c>
      <c r="V143" s="5" t="s">
        <v>677</v>
      </c>
    </row>
    <row r="144" spans="1:23" x14ac:dyDescent="0.2">
      <c r="A144" s="18">
        <f>Titanic_raw!A144</f>
        <v>1034</v>
      </c>
      <c r="B144" s="17">
        <f>Titanic_raw!B144</f>
        <v>0</v>
      </c>
      <c r="C144" s="17" t="str">
        <f t="shared" si="2"/>
        <v>Dead</v>
      </c>
      <c r="D144" s="17" t="str">
        <f>CONCATENATE(Titanic_raw!C144, " Class")</f>
        <v>1 Class</v>
      </c>
      <c r="E144" s="19" t="str">
        <f>INDEX(tbl_passenger[Full Name],MATCH(A144,tbl_passenger[PassengerId],0))</f>
        <v>Mr. Arthur Larned Ryerson</v>
      </c>
      <c r="F144" t="str">
        <f>INDEX(tbl_passenger[Sex],MATCH(A144,tbl_passenger[PassengerId],0))</f>
        <v>Male</v>
      </c>
      <c r="G144" t="str">
        <f>IF(tbl_figures[Age]&lt;20, "Teens (0-19)", IF(tbl_figures[Age] &lt;40, "Youth (20-39)", IF(tbl_figures[Age]&lt;60, "Adult (40-59)", IF(tbl_figures[Age]&gt;=60, "Elders (60-Above)"))))</f>
        <v>Elders (60-Above)</v>
      </c>
      <c r="H144" s="25">
        <f>IF(ISBLANK(Titanic_raw!F144),$C$423,Titanic_raw!F144)</f>
        <v>61</v>
      </c>
      <c r="I144">
        <f>Titanic_raw!G144</f>
        <v>1</v>
      </c>
      <c r="J144">
        <f>Titanic_raw!H144</f>
        <v>3</v>
      </c>
      <c r="K144" t="str">
        <f>Titanic_raw!I144</f>
        <v>PC 17608</v>
      </c>
      <c r="L144" s="26">
        <f>IF(ISBLANK(Titanic_raw!J144),$C$427,Titanic_raw!J144)</f>
        <v>262.375</v>
      </c>
      <c r="M144" t="str">
        <f>Titanic_raw!K144</f>
        <v>B57 B59 B63 B66</v>
      </c>
      <c r="N144" t="str">
        <f>IF(Titanic_raw!L144="S","Southampton",IF(Titanic_raw!L144="Q","Queenstown",IF(Titanic_raw!L144="C","Cherbourg")))</f>
        <v>Cherbourg</v>
      </c>
      <c r="U144" s="5" t="s">
        <v>630</v>
      </c>
      <c r="V144" t="s">
        <v>634</v>
      </c>
      <c r="W144" t="s">
        <v>635</v>
      </c>
    </row>
    <row r="145" spans="1:23" x14ac:dyDescent="0.2">
      <c r="A145" s="18">
        <f>Titanic_raw!A145</f>
        <v>1035</v>
      </c>
      <c r="B145" s="21">
        <f>Titanic_raw!B145</f>
        <v>0</v>
      </c>
      <c r="C145" s="21" t="str">
        <f t="shared" si="2"/>
        <v>Dead</v>
      </c>
      <c r="D145" s="21" t="str">
        <f>CONCATENATE(Titanic_raw!C145, " Class")</f>
        <v>2 Class</v>
      </c>
      <c r="E145" s="23" t="str">
        <f>INDEX(tbl_passenger[Full Name],MATCH(A145,tbl_passenger[PassengerId],0))</f>
        <v>Mr. Henry James Beauchamp</v>
      </c>
      <c r="F145" t="str">
        <f>INDEX(tbl_passenger[Sex],MATCH(A145,tbl_passenger[PassengerId],0))</f>
        <v>Male</v>
      </c>
      <c r="G145" t="str">
        <f>IF(tbl_figures[Age]&lt;20, "Teens (0-19)", IF(tbl_figures[Age] &lt;40, "Youth (20-39)", IF(tbl_figures[Age]&lt;60, "Adult (40-59)", IF(tbl_figures[Age]&gt;=60, "Elders (60-Above)"))))</f>
        <v>Youth (20-39)</v>
      </c>
      <c r="H145" s="25">
        <f>IF(ISBLANK(Titanic_raw!F145),$C$423,Titanic_raw!F145)</f>
        <v>28</v>
      </c>
      <c r="I145">
        <f>Titanic_raw!G145</f>
        <v>0</v>
      </c>
      <c r="J145">
        <f>Titanic_raw!H145</f>
        <v>0</v>
      </c>
      <c r="K145">
        <f>Titanic_raw!I145</f>
        <v>244358</v>
      </c>
      <c r="L145" s="26">
        <f>IF(ISBLANK(Titanic_raw!J145),$C$427,Titanic_raw!J145)</f>
        <v>26</v>
      </c>
      <c r="M145">
        <f>Titanic_raw!K145</f>
        <v>0</v>
      </c>
      <c r="N145" t="str">
        <f>IF(Titanic_raw!L145="S","Southampton",IF(Titanic_raw!L145="Q","Queenstown",IF(Titanic_raw!L145="C","Cherbourg")))</f>
        <v>Southampton</v>
      </c>
      <c r="U145" s="6" t="s">
        <v>645</v>
      </c>
      <c r="V145" s="4">
        <v>50</v>
      </c>
      <c r="W145" s="4">
        <v>57</v>
      </c>
    </row>
    <row r="146" spans="1:23" x14ac:dyDescent="0.2">
      <c r="A146" s="18">
        <f>Titanic_raw!A146</f>
        <v>1036</v>
      </c>
      <c r="B146" s="17">
        <f>Titanic_raw!B146</f>
        <v>0</v>
      </c>
      <c r="C146" s="17" t="str">
        <f t="shared" si="2"/>
        <v>Dead</v>
      </c>
      <c r="D146" s="17" t="str">
        <f>CONCATENATE(Titanic_raw!C146, " Class")</f>
        <v>1 Class</v>
      </c>
      <c r="E146" s="19" t="str">
        <f>INDEX(tbl_passenger[Full Name],MATCH(A146,tbl_passenger[PassengerId],0))</f>
        <v>Mr. Erik Gustaf (Mr Edward Lingrey")" Lindeberg-Lind</v>
      </c>
      <c r="F146" t="str">
        <f>INDEX(tbl_passenger[Sex],MATCH(A146,tbl_passenger[PassengerId],0))</f>
        <v>Male</v>
      </c>
      <c r="G146" t="str">
        <f>IF(tbl_figures[Age]&lt;20, "Teens (0-19)", IF(tbl_figures[Age] &lt;40, "Youth (20-39)", IF(tbl_figures[Age]&lt;60, "Adult (40-59)", IF(tbl_figures[Age]&gt;=60, "Elders (60-Above)"))))</f>
        <v>Adult (40-59)</v>
      </c>
      <c r="H146" s="25">
        <f>IF(ISBLANK(Titanic_raw!F146),$C$423,Titanic_raw!F146)</f>
        <v>42</v>
      </c>
      <c r="I146">
        <f>Titanic_raw!G146</f>
        <v>0</v>
      </c>
      <c r="J146">
        <f>Titanic_raw!H146</f>
        <v>0</v>
      </c>
      <c r="K146">
        <f>Titanic_raw!I146</f>
        <v>17475</v>
      </c>
      <c r="L146" s="26">
        <f>IF(ISBLANK(Titanic_raw!J146),$C$427,Titanic_raw!J146)</f>
        <v>26.55</v>
      </c>
      <c r="M146">
        <f>Titanic_raw!K146</f>
        <v>0</v>
      </c>
      <c r="N146" t="str">
        <f>IF(Titanic_raw!L146="S","Southampton",IF(Titanic_raw!L146="Q","Queenstown",IF(Titanic_raw!L146="C","Cherbourg")))</f>
        <v>Southampton</v>
      </c>
      <c r="U146" s="6" t="s">
        <v>646</v>
      </c>
      <c r="V146" s="4">
        <v>30</v>
      </c>
      <c r="W146" s="4">
        <v>63</v>
      </c>
    </row>
    <row r="147" spans="1:23" x14ac:dyDescent="0.2">
      <c r="A147" s="18">
        <f>Titanic_raw!A147</f>
        <v>1037</v>
      </c>
      <c r="B147" s="21">
        <f>Titanic_raw!B147</f>
        <v>0</v>
      </c>
      <c r="C147" s="21" t="str">
        <f t="shared" si="2"/>
        <v>Dead</v>
      </c>
      <c r="D147" s="21" t="str">
        <f>CONCATENATE(Titanic_raw!C147, " Class")</f>
        <v>3 Class</v>
      </c>
      <c r="E147" s="23" t="str">
        <f>INDEX(tbl_passenger[Full Name],MATCH(A147,tbl_passenger[PassengerId],0))</f>
        <v>Mr. Julius Vander Planke</v>
      </c>
      <c r="F147" t="str">
        <f>INDEX(tbl_passenger[Sex],MATCH(A147,tbl_passenger[PassengerId],0))</f>
        <v>Male</v>
      </c>
      <c r="G147" t="str">
        <f>IF(tbl_figures[Age]&lt;20, "Teens (0-19)", IF(tbl_figures[Age] &lt;40, "Youth (20-39)", IF(tbl_figures[Age]&lt;60, "Adult (40-59)", IF(tbl_figures[Age]&gt;=60, "Elders (60-Above)"))))</f>
        <v>Youth (20-39)</v>
      </c>
      <c r="H147" s="25">
        <f>IF(ISBLANK(Titanic_raw!F147),$C$423,Titanic_raw!F147)</f>
        <v>31</v>
      </c>
      <c r="I147">
        <f>Titanic_raw!G147</f>
        <v>3</v>
      </c>
      <c r="J147">
        <f>Titanic_raw!H147</f>
        <v>0</v>
      </c>
      <c r="K147">
        <f>Titanic_raw!I147</f>
        <v>345763</v>
      </c>
      <c r="L147" s="26">
        <f>IF(ISBLANK(Titanic_raw!J147),$C$427,Titanic_raw!J147)</f>
        <v>18</v>
      </c>
      <c r="M147">
        <f>Titanic_raw!K147</f>
        <v>0</v>
      </c>
      <c r="N147" t="str">
        <f>IF(Titanic_raw!L147="S","Southampton",IF(Titanic_raw!L147="Q","Queenstown",IF(Titanic_raw!L147="C","Cherbourg")))</f>
        <v>Southampton</v>
      </c>
      <c r="U147" s="6" t="s">
        <v>644</v>
      </c>
      <c r="V147" s="4">
        <v>72</v>
      </c>
      <c r="W147" s="4">
        <v>146</v>
      </c>
    </row>
    <row r="148" spans="1:23" x14ac:dyDescent="0.2">
      <c r="A148" s="18">
        <f>Titanic_raw!A148</f>
        <v>1038</v>
      </c>
      <c r="B148" s="17">
        <f>Titanic_raw!B148</f>
        <v>0</v>
      </c>
      <c r="C148" s="17" t="str">
        <f t="shared" si="2"/>
        <v>Dead</v>
      </c>
      <c r="D148" s="17" t="str">
        <f>CONCATENATE(Titanic_raw!C148, " Class")</f>
        <v>1 Class</v>
      </c>
      <c r="E148" s="19" t="str">
        <f>INDEX(tbl_passenger[Full Name],MATCH(A148,tbl_passenger[PassengerId],0))</f>
        <v>Mr. Herbert Henry Hilliard</v>
      </c>
      <c r="F148" t="str">
        <f>INDEX(tbl_passenger[Sex],MATCH(A148,tbl_passenger[PassengerId],0))</f>
        <v>Male</v>
      </c>
      <c r="G148" t="str">
        <f>IF(tbl_figures[Age]&lt;20, "Teens (0-19)", IF(tbl_figures[Age] &lt;40, "Youth (20-39)", IF(tbl_figures[Age]&lt;60, "Adult (40-59)", IF(tbl_figures[Age]&gt;=60, "Elders (60-Above)"))))</f>
        <v>Youth (20-39)</v>
      </c>
      <c r="H148" s="25">
        <f>IF(ISBLANK(Titanic_raw!F148),$C$423,Titanic_raw!F148)</f>
        <v>30.272590325616491</v>
      </c>
      <c r="I148">
        <f>Titanic_raw!G148</f>
        <v>0</v>
      </c>
      <c r="J148">
        <f>Titanic_raw!H148</f>
        <v>0</v>
      </c>
      <c r="K148">
        <f>Titanic_raw!I148</f>
        <v>17463</v>
      </c>
      <c r="L148" s="26">
        <f>IF(ISBLANK(Titanic_raw!J148),$C$427,Titanic_raw!J148)</f>
        <v>51.862499999999997</v>
      </c>
      <c r="M148" t="str">
        <f>Titanic_raw!K148</f>
        <v>E46</v>
      </c>
      <c r="N148" t="str">
        <f>IF(Titanic_raw!L148="S","Southampton",IF(Titanic_raw!L148="Q","Queenstown",IF(Titanic_raw!L148="C","Cherbourg")))</f>
        <v>Southampton</v>
      </c>
      <c r="U148" s="6" t="s">
        <v>631</v>
      </c>
      <c r="V148" s="4">
        <v>152</v>
      </c>
      <c r="W148" s="4">
        <v>266</v>
      </c>
    </row>
    <row r="149" spans="1:23" x14ac:dyDescent="0.2">
      <c r="A149" s="18">
        <f>Titanic_raw!A149</f>
        <v>1039</v>
      </c>
      <c r="B149" s="21">
        <f>Titanic_raw!B149</f>
        <v>0</v>
      </c>
      <c r="C149" s="21" t="str">
        <f t="shared" si="2"/>
        <v>Dead</v>
      </c>
      <c r="D149" s="21" t="str">
        <f>CONCATENATE(Titanic_raw!C149, " Class")</f>
        <v>3 Class</v>
      </c>
      <c r="E149" s="23" t="str">
        <f>INDEX(tbl_passenger[Full Name],MATCH(A149,tbl_passenger[PassengerId],0))</f>
        <v>Mr. Evan Davies</v>
      </c>
      <c r="F149" t="str">
        <f>INDEX(tbl_passenger[Sex],MATCH(A149,tbl_passenger[PassengerId],0))</f>
        <v>Male</v>
      </c>
      <c r="G149" t="str">
        <f>IF(tbl_figures[Age]&lt;20, "Teens (0-19)", IF(tbl_figures[Age] &lt;40, "Youth (20-39)", IF(tbl_figures[Age]&lt;60, "Adult (40-59)", IF(tbl_figures[Age]&gt;=60, "Elders (60-Above)"))))</f>
        <v>Youth (20-39)</v>
      </c>
      <c r="H149" s="25">
        <f>IF(ISBLANK(Titanic_raw!F149),$C$423,Titanic_raw!F149)</f>
        <v>22</v>
      </c>
      <c r="I149">
        <f>Titanic_raw!G149</f>
        <v>0</v>
      </c>
      <c r="J149">
        <f>Titanic_raw!H149</f>
        <v>0</v>
      </c>
      <c r="K149" t="str">
        <f>Titanic_raw!I149</f>
        <v>SC/A4 23568</v>
      </c>
      <c r="L149" s="26">
        <f>IF(ISBLANK(Titanic_raw!J149),$C$427,Titanic_raw!J149)</f>
        <v>8.0500000000000007</v>
      </c>
      <c r="M149">
        <f>Titanic_raw!K149</f>
        <v>0</v>
      </c>
      <c r="N149" t="str">
        <f>IF(Titanic_raw!L149="S","Southampton",IF(Titanic_raw!L149="Q","Queenstown",IF(Titanic_raw!L149="C","Cherbourg")))</f>
        <v>Southampton</v>
      </c>
    </row>
    <row r="150" spans="1:23" x14ac:dyDescent="0.2">
      <c r="A150" s="18">
        <f>Titanic_raw!A150</f>
        <v>1040</v>
      </c>
      <c r="B150" s="17">
        <f>Titanic_raw!B150</f>
        <v>0</v>
      </c>
      <c r="C150" s="17" t="str">
        <f t="shared" si="2"/>
        <v>Dead</v>
      </c>
      <c r="D150" s="17" t="str">
        <f>CONCATENATE(Titanic_raw!C150, " Class")</f>
        <v>1 Class</v>
      </c>
      <c r="E150" s="19" t="str">
        <f>INDEX(tbl_passenger[Full Name],MATCH(A150,tbl_passenger[PassengerId],0))</f>
        <v>Mr. John Bertram Crafton</v>
      </c>
      <c r="F150" t="str">
        <f>INDEX(tbl_passenger[Sex],MATCH(A150,tbl_passenger[PassengerId],0))</f>
        <v>Male</v>
      </c>
      <c r="G150" t="str">
        <f>IF(tbl_figures[Age]&lt;20, "Teens (0-19)", IF(tbl_figures[Age] &lt;40, "Youth (20-39)", IF(tbl_figures[Age]&lt;60, "Adult (40-59)", IF(tbl_figures[Age]&gt;=60, "Elders (60-Above)"))))</f>
        <v>Youth (20-39)</v>
      </c>
      <c r="H150" s="25">
        <f>IF(ISBLANK(Titanic_raw!F150),$C$423,Titanic_raw!F150)</f>
        <v>30.272590325616491</v>
      </c>
      <c r="I150">
        <f>Titanic_raw!G150</f>
        <v>0</v>
      </c>
      <c r="J150">
        <f>Titanic_raw!H150</f>
        <v>0</v>
      </c>
      <c r="K150">
        <f>Titanic_raw!I150</f>
        <v>113791</v>
      </c>
      <c r="L150" s="26">
        <f>IF(ISBLANK(Titanic_raw!J150),$C$427,Titanic_raw!J150)</f>
        <v>26.55</v>
      </c>
      <c r="M150">
        <f>Titanic_raw!K150</f>
        <v>0</v>
      </c>
      <c r="N150" t="str">
        <f>IF(Titanic_raw!L150="S","Southampton",IF(Titanic_raw!L150="Q","Queenstown",IF(Titanic_raw!L150="C","Cherbourg")))</f>
        <v>Southampton</v>
      </c>
    </row>
    <row r="151" spans="1:23" x14ac:dyDescent="0.2">
      <c r="A151" s="18">
        <f>Titanic_raw!A151</f>
        <v>1041</v>
      </c>
      <c r="B151" s="21">
        <f>Titanic_raw!B151</f>
        <v>0</v>
      </c>
      <c r="C151" s="21" t="str">
        <f t="shared" si="2"/>
        <v>Dead</v>
      </c>
      <c r="D151" s="21" t="str">
        <f>CONCATENATE(Titanic_raw!C151, " Class")</f>
        <v>2 Class</v>
      </c>
      <c r="E151" s="23" t="str">
        <f>INDEX(tbl_passenger[Full Name],MATCH(A151,tbl_passenger[PassengerId],0))</f>
        <v>Rev. William Lahtinen</v>
      </c>
      <c r="F151" t="str">
        <f>INDEX(tbl_passenger[Sex],MATCH(A151,tbl_passenger[PassengerId],0))</f>
        <v>Male</v>
      </c>
      <c r="G151" t="str">
        <f>IF(tbl_figures[Age]&lt;20, "Teens (0-19)", IF(tbl_figures[Age] &lt;40, "Youth (20-39)", IF(tbl_figures[Age]&lt;60, "Adult (40-59)", IF(tbl_figures[Age]&gt;=60, "Elders (60-Above)"))))</f>
        <v>Youth (20-39)</v>
      </c>
      <c r="H151" s="25">
        <f>IF(ISBLANK(Titanic_raw!F151),$C$423,Titanic_raw!F151)</f>
        <v>30</v>
      </c>
      <c r="I151">
        <f>Titanic_raw!G151</f>
        <v>1</v>
      </c>
      <c r="J151">
        <f>Titanic_raw!H151</f>
        <v>1</v>
      </c>
      <c r="K151">
        <f>Titanic_raw!I151</f>
        <v>250651</v>
      </c>
      <c r="L151" s="26">
        <f>IF(ISBLANK(Titanic_raw!J151),$C$427,Titanic_raw!J151)</f>
        <v>26</v>
      </c>
      <c r="M151">
        <f>Titanic_raw!K151</f>
        <v>0</v>
      </c>
      <c r="N151" t="str">
        <f>IF(Titanic_raw!L151="S","Southampton",IF(Titanic_raw!L151="Q","Queenstown",IF(Titanic_raw!L151="C","Cherbourg")))</f>
        <v>Southampton</v>
      </c>
    </row>
    <row r="152" spans="1:23" x14ac:dyDescent="0.2">
      <c r="A152" s="18">
        <f>Titanic_raw!A152</f>
        <v>1042</v>
      </c>
      <c r="B152" s="17">
        <f>Titanic_raw!B152</f>
        <v>1</v>
      </c>
      <c r="C152" s="17" t="str">
        <f t="shared" si="2"/>
        <v>Survived</v>
      </c>
      <c r="D152" s="17" t="str">
        <f>CONCATENATE(Titanic_raw!C152, " Class")</f>
        <v>1 Class</v>
      </c>
      <c r="E152" s="19" t="str">
        <f>INDEX(tbl_passenger[Full Name],MATCH(A152,tbl_passenger[PassengerId],0))</f>
        <v>Mrs. Boulton (Olive Potter) Earnshaw</v>
      </c>
      <c r="F152" t="str">
        <f>INDEX(tbl_passenger[Sex],MATCH(A152,tbl_passenger[PassengerId],0))</f>
        <v>Female</v>
      </c>
      <c r="G152" t="str">
        <f>IF(tbl_figures[Age]&lt;20, "Teens (0-19)", IF(tbl_figures[Age] &lt;40, "Youth (20-39)", IF(tbl_figures[Age]&lt;60, "Adult (40-59)", IF(tbl_figures[Age]&gt;=60, "Elders (60-Above)"))))</f>
        <v>Youth (20-39)</v>
      </c>
      <c r="H152" s="25">
        <f>IF(ISBLANK(Titanic_raw!F152),$C$423,Titanic_raw!F152)</f>
        <v>23</v>
      </c>
      <c r="I152">
        <f>Titanic_raw!G152</f>
        <v>0</v>
      </c>
      <c r="J152">
        <f>Titanic_raw!H152</f>
        <v>1</v>
      </c>
      <c r="K152">
        <f>Titanic_raw!I152</f>
        <v>11767</v>
      </c>
      <c r="L152" s="26">
        <f>IF(ISBLANK(Titanic_raw!J152),$C$427,Titanic_raw!J152)</f>
        <v>83.158299999999997</v>
      </c>
      <c r="M152" t="str">
        <f>Titanic_raw!K152</f>
        <v>C54</v>
      </c>
      <c r="N152" t="str">
        <f>IF(Titanic_raw!L152="S","Southampton",IF(Titanic_raw!L152="Q","Queenstown",IF(Titanic_raw!L152="C","Cherbourg")))</f>
        <v>Cherbourg</v>
      </c>
    </row>
    <row r="153" spans="1:23" x14ac:dyDescent="0.2">
      <c r="A153" s="18">
        <f>Titanic_raw!A153</f>
        <v>1043</v>
      </c>
      <c r="B153" s="21">
        <f>Titanic_raw!B153</f>
        <v>0</v>
      </c>
      <c r="C153" s="21" t="str">
        <f t="shared" si="2"/>
        <v>Dead</v>
      </c>
      <c r="D153" s="21" t="str">
        <f>CONCATENATE(Titanic_raw!C153, " Class")</f>
        <v>3 Class</v>
      </c>
      <c r="E153" s="23" t="str">
        <f>INDEX(tbl_passenger[Full Name],MATCH(A153,tbl_passenger[PassengerId],0))</f>
        <v>Mr. Nicola Matinoff</v>
      </c>
      <c r="F153" t="str">
        <f>INDEX(tbl_passenger[Sex],MATCH(A153,tbl_passenger[PassengerId],0))</f>
        <v>Male</v>
      </c>
      <c r="G153" t="str">
        <f>IF(tbl_figures[Age]&lt;20, "Teens (0-19)", IF(tbl_figures[Age] &lt;40, "Youth (20-39)", IF(tbl_figures[Age]&lt;60, "Adult (40-59)", IF(tbl_figures[Age]&gt;=60, "Elders (60-Above)"))))</f>
        <v>Youth (20-39)</v>
      </c>
      <c r="H153" s="25">
        <f>IF(ISBLANK(Titanic_raw!F153),$C$423,Titanic_raw!F153)</f>
        <v>30.272590325616491</v>
      </c>
      <c r="I153">
        <f>Titanic_raw!G153</f>
        <v>0</v>
      </c>
      <c r="J153">
        <f>Titanic_raw!H153</f>
        <v>0</v>
      </c>
      <c r="K153">
        <f>Titanic_raw!I153</f>
        <v>349255</v>
      </c>
      <c r="L153" s="26">
        <f>IF(ISBLANK(Titanic_raw!J153),$C$427,Titanic_raw!J153)</f>
        <v>7.8958000000000004</v>
      </c>
      <c r="M153">
        <f>Titanic_raw!K153</f>
        <v>0</v>
      </c>
      <c r="N153" t="str">
        <f>IF(Titanic_raw!L153="S","Southampton",IF(Titanic_raw!L153="Q","Queenstown",IF(Titanic_raw!L153="C","Cherbourg")))</f>
        <v>Cherbourg</v>
      </c>
    </row>
    <row r="154" spans="1:23" x14ac:dyDescent="0.2">
      <c r="A154" s="18">
        <f>Titanic_raw!A154</f>
        <v>1044</v>
      </c>
      <c r="B154" s="17">
        <f>Titanic_raw!B154</f>
        <v>0</v>
      </c>
      <c r="C154" s="17" t="str">
        <f t="shared" si="2"/>
        <v>Dead</v>
      </c>
      <c r="D154" s="17" t="str">
        <f>CONCATENATE(Titanic_raw!C154, " Class")</f>
        <v>3 Class</v>
      </c>
      <c r="E154" s="19" t="str">
        <f>INDEX(tbl_passenger[Full Name],MATCH(A154,tbl_passenger[PassengerId],0))</f>
        <v>Mr. Thomas Storey</v>
      </c>
      <c r="F154" t="str">
        <f>INDEX(tbl_passenger[Sex],MATCH(A154,tbl_passenger[PassengerId],0))</f>
        <v>Male</v>
      </c>
      <c r="G154" t="str">
        <f>IF(tbl_figures[Age]&lt;20, "Teens (0-19)", IF(tbl_figures[Age] &lt;40, "Youth (20-39)", IF(tbl_figures[Age]&lt;60, "Adult (40-59)", IF(tbl_figures[Age]&gt;=60, "Elders (60-Above)"))))</f>
        <v>Elders (60-Above)</v>
      </c>
      <c r="H154" s="25">
        <f>IF(ISBLANK(Titanic_raw!F154),$C$423,Titanic_raw!F154)</f>
        <v>60.5</v>
      </c>
      <c r="I154">
        <f>Titanic_raw!G154</f>
        <v>0</v>
      </c>
      <c r="J154">
        <f>Titanic_raw!H154</f>
        <v>0</v>
      </c>
      <c r="K154">
        <f>Titanic_raw!I154</f>
        <v>3701</v>
      </c>
      <c r="L154" s="26">
        <f>IF(ISBLANK(Titanic_raw!J154),$C$427,Titanic_raw!J154)</f>
        <v>35.627188489208599</v>
      </c>
      <c r="M154">
        <f>Titanic_raw!K154</f>
        <v>0</v>
      </c>
      <c r="N154" t="str">
        <f>IF(Titanic_raw!L154="S","Southampton",IF(Titanic_raw!L154="Q","Queenstown",IF(Titanic_raw!L154="C","Cherbourg")))</f>
        <v>Southampton</v>
      </c>
    </row>
    <row r="155" spans="1:23" x14ac:dyDescent="0.2">
      <c r="A155" s="18">
        <f>Titanic_raw!A155</f>
        <v>1045</v>
      </c>
      <c r="B155" s="21">
        <f>Titanic_raw!B155</f>
        <v>1</v>
      </c>
      <c r="C155" s="21" t="str">
        <f t="shared" si="2"/>
        <v>Survived</v>
      </c>
      <c r="D155" s="21" t="str">
        <f>CONCATENATE(Titanic_raw!C155, " Class")</f>
        <v>3 Class</v>
      </c>
      <c r="E155" s="23" t="str">
        <f>INDEX(tbl_passenger[Full Name],MATCH(A155,tbl_passenger[PassengerId],0))</f>
        <v>Mrs. (Hulda Kristina Eugenia Lofqvist) Klasen</v>
      </c>
      <c r="F155" t="str">
        <f>INDEX(tbl_passenger[Sex],MATCH(A155,tbl_passenger[PassengerId],0))</f>
        <v>Female</v>
      </c>
      <c r="G155" t="str">
        <f>IF(tbl_figures[Age]&lt;20, "Teens (0-19)", IF(tbl_figures[Age] &lt;40, "Youth (20-39)", IF(tbl_figures[Age]&lt;60, "Adult (40-59)", IF(tbl_figures[Age]&gt;=60, "Elders (60-Above)"))))</f>
        <v>Youth (20-39)</v>
      </c>
      <c r="H155" s="25">
        <f>IF(ISBLANK(Titanic_raw!F155),$C$423,Titanic_raw!F155)</f>
        <v>36</v>
      </c>
      <c r="I155">
        <f>Titanic_raw!G155</f>
        <v>0</v>
      </c>
      <c r="J155">
        <f>Titanic_raw!H155</f>
        <v>2</v>
      </c>
      <c r="K155">
        <f>Titanic_raw!I155</f>
        <v>350405</v>
      </c>
      <c r="L155" s="26">
        <f>IF(ISBLANK(Titanic_raw!J155),$C$427,Titanic_raw!J155)</f>
        <v>12.183299999999999</v>
      </c>
      <c r="M155">
        <f>Titanic_raw!K155</f>
        <v>0</v>
      </c>
      <c r="N155" t="str">
        <f>IF(Titanic_raw!L155="S","Southampton",IF(Titanic_raw!L155="Q","Queenstown",IF(Titanic_raw!L155="C","Cherbourg")))</f>
        <v>Southampton</v>
      </c>
    </row>
    <row r="156" spans="1:23" x14ac:dyDescent="0.2">
      <c r="A156" s="18">
        <f>Titanic_raw!A156</f>
        <v>1046</v>
      </c>
      <c r="B156" s="17">
        <f>Titanic_raw!B156</f>
        <v>0</v>
      </c>
      <c r="C156" s="17" t="str">
        <f t="shared" si="2"/>
        <v>Dead</v>
      </c>
      <c r="D156" s="17" t="str">
        <f>CONCATENATE(Titanic_raw!C156, " Class")</f>
        <v>3 Class</v>
      </c>
      <c r="E156" s="19" t="str">
        <f>INDEX(tbl_passenger[Full Name],MATCH(A156,tbl_passenger[PassengerId],0))</f>
        <v>Master. Filip Oscar Asplund</v>
      </c>
      <c r="F156" t="str">
        <f>INDEX(tbl_passenger[Sex],MATCH(A156,tbl_passenger[PassengerId],0))</f>
        <v>Male</v>
      </c>
      <c r="G156" t="str">
        <f>IF(tbl_figures[Age]&lt;20, "Teens (0-19)", IF(tbl_figures[Age] &lt;40, "Youth (20-39)", IF(tbl_figures[Age]&lt;60, "Adult (40-59)", IF(tbl_figures[Age]&gt;=60, "Elders (60-Above)"))))</f>
        <v>Teens (0-19)</v>
      </c>
      <c r="H156" s="25">
        <f>IF(ISBLANK(Titanic_raw!F156),$C$423,Titanic_raw!F156)</f>
        <v>13</v>
      </c>
      <c r="I156">
        <f>Titanic_raw!G156</f>
        <v>4</v>
      </c>
      <c r="J156">
        <f>Titanic_raw!H156</f>
        <v>2</v>
      </c>
      <c r="K156">
        <f>Titanic_raw!I156</f>
        <v>347077</v>
      </c>
      <c r="L156" s="26">
        <f>IF(ISBLANK(Titanic_raw!J156),$C$427,Titanic_raw!J156)</f>
        <v>31.387499999999999</v>
      </c>
      <c r="M156">
        <f>Titanic_raw!K156</f>
        <v>0</v>
      </c>
      <c r="N156" t="str">
        <f>IF(Titanic_raw!L156="S","Southampton",IF(Titanic_raw!L156="Q","Queenstown",IF(Titanic_raw!L156="C","Cherbourg")))</f>
        <v>Southampton</v>
      </c>
    </row>
    <row r="157" spans="1:23" x14ac:dyDescent="0.2">
      <c r="A157" s="18">
        <f>Titanic_raw!A157</f>
        <v>1047</v>
      </c>
      <c r="B157" s="21">
        <f>Titanic_raw!B157</f>
        <v>0</v>
      </c>
      <c r="C157" s="21" t="str">
        <f t="shared" si="2"/>
        <v>Dead</v>
      </c>
      <c r="D157" s="21" t="str">
        <f>CONCATENATE(Titanic_raw!C157, " Class")</f>
        <v>3 Class</v>
      </c>
      <c r="E157" s="23" t="str">
        <f>INDEX(tbl_passenger[Full Name],MATCH(A157,tbl_passenger[PassengerId],0))</f>
        <v>Mr. Joseph Duquemin</v>
      </c>
      <c r="F157" t="str">
        <f>INDEX(tbl_passenger[Sex],MATCH(A157,tbl_passenger[PassengerId],0))</f>
        <v>Male</v>
      </c>
      <c r="G157" t="str">
        <f>IF(tbl_figures[Age]&lt;20, "Teens (0-19)", IF(tbl_figures[Age] &lt;40, "Youth (20-39)", IF(tbl_figures[Age]&lt;60, "Adult (40-59)", IF(tbl_figures[Age]&gt;=60, "Elders (60-Above)"))))</f>
        <v>Youth (20-39)</v>
      </c>
      <c r="H157" s="25">
        <f>IF(ISBLANK(Titanic_raw!F157),$C$423,Titanic_raw!F157)</f>
        <v>24</v>
      </c>
      <c r="I157">
        <f>Titanic_raw!G157</f>
        <v>0</v>
      </c>
      <c r="J157">
        <f>Titanic_raw!H157</f>
        <v>0</v>
      </c>
      <c r="K157" t="str">
        <f>Titanic_raw!I157</f>
        <v>S.O./P.P. 752</v>
      </c>
      <c r="L157" s="26">
        <f>IF(ISBLANK(Titanic_raw!J157),$C$427,Titanic_raw!J157)</f>
        <v>7.55</v>
      </c>
      <c r="M157">
        <f>Titanic_raw!K157</f>
        <v>0</v>
      </c>
      <c r="N157" t="str">
        <f>IF(Titanic_raw!L157="S","Southampton",IF(Titanic_raw!L157="Q","Queenstown",IF(Titanic_raw!L157="C","Cherbourg")))</f>
        <v>Southampton</v>
      </c>
    </row>
    <row r="158" spans="1:23" x14ac:dyDescent="0.2">
      <c r="A158" s="18">
        <f>Titanic_raw!A158</f>
        <v>1048</v>
      </c>
      <c r="B158" s="17">
        <f>Titanic_raw!B158</f>
        <v>1</v>
      </c>
      <c r="C158" s="17" t="str">
        <f t="shared" si="2"/>
        <v>Survived</v>
      </c>
      <c r="D158" s="17" t="str">
        <f>CONCATENATE(Titanic_raw!C158, " Class")</f>
        <v>1 Class</v>
      </c>
      <c r="E158" s="19" t="str">
        <f>INDEX(tbl_passenger[Full Name],MATCH(A158,tbl_passenger[PassengerId],0))</f>
        <v>Miss. Ellen Bird</v>
      </c>
      <c r="F158" t="str">
        <f>INDEX(tbl_passenger[Sex],MATCH(A158,tbl_passenger[PassengerId],0))</f>
        <v>Female</v>
      </c>
      <c r="G158" t="str">
        <f>IF(tbl_figures[Age]&lt;20, "Teens (0-19)", IF(tbl_figures[Age] &lt;40, "Youth (20-39)", IF(tbl_figures[Age]&lt;60, "Adult (40-59)", IF(tbl_figures[Age]&gt;=60, "Elders (60-Above)"))))</f>
        <v>Youth (20-39)</v>
      </c>
      <c r="H158" s="25">
        <f>IF(ISBLANK(Titanic_raw!F158),$C$423,Titanic_raw!F158)</f>
        <v>29</v>
      </c>
      <c r="I158">
        <f>Titanic_raw!G158</f>
        <v>0</v>
      </c>
      <c r="J158">
        <f>Titanic_raw!H158</f>
        <v>0</v>
      </c>
      <c r="K158" t="str">
        <f>Titanic_raw!I158</f>
        <v>PC 17483</v>
      </c>
      <c r="L158" s="26">
        <f>IF(ISBLANK(Titanic_raw!J158),$C$427,Titanic_raw!J158)</f>
        <v>221.7792</v>
      </c>
      <c r="M158" t="str">
        <f>Titanic_raw!K158</f>
        <v>C97</v>
      </c>
      <c r="N158" t="str">
        <f>IF(Titanic_raw!L158="S","Southampton",IF(Titanic_raw!L158="Q","Queenstown",IF(Titanic_raw!L158="C","Cherbourg")))</f>
        <v>Southampton</v>
      </c>
    </row>
    <row r="159" spans="1:23" x14ac:dyDescent="0.2">
      <c r="A159" s="18">
        <f>Titanic_raw!A159</f>
        <v>1049</v>
      </c>
      <c r="B159" s="21">
        <f>Titanic_raw!B159</f>
        <v>1</v>
      </c>
      <c r="C159" s="21" t="str">
        <f t="shared" si="2"/>
        <v>Survived</v>
      </c>
      <c r="D159" s="21" t="str">
        <f>CONCATENATE(Titanic_raw!C159, " Class")</f>
        <v>3 Class</v>
      </c>
      <c r="E159" s="23" t="str">
        <f>INDEX(tbl_passenger[Full Name],MATCH(A159,tbl_passenger[PassengerId],0))</f>
        <v>Miss. Olga Elida Lundin</v>
      </c>
      <c r="F159" t="str">
        <f>INDEX(tbl_passenger[Sex],MATCH(A159,tbl_passenger[PassengerId],0))</f>
        <v>Female</v>
      </c>
      <c r="G159" t="str">
        <f>IF(tbl_figures[Age]&lt;20, "Teens (0-19)", IF(tbl_figures[Age] &lt;40, "Youth (20-39)", IF(tbl_figures[Age]&lt;60, "Adult (40-59)", IF(tbl_figures[Age]&gt;=60, "Elders (60-Above)"))))</f>
        <v>Youth (20-39)</v>
      </c>
      <c r="H159" s="25">
        <f>IF(ISBLANK(Titanic_raw!F159),$C$423,Titanic_raw!F159)</f>
        <v>23</v>
      </c>
      <c r="I159">
        <f>Titanic_raw!G159</f>
        <v>0</v>
      </c>
      <c r="J159">
        <f>Titanic_raw!H159</f>
        <v>0</v>
      </c>
      <c r="K159">
        <f>Titanic_raw!I159</f>
        <v>347469</v>
      </c>
      <c r="L159" s="26">
        <f>IF(ISBLANK(Titanic_raw!J159),$C$427,Titanic_raw!J159)</f>
        <v>7.8541999999999996</v>
      </c>
      <c r="M159">
        <f>Titanic_raw!K159</f>
        <v>0</v>
      </c>
      <c r="N159" t="str">
        <f>IF(Titanic_raw!L159="S","Southampton",IF(Titanic_raw!L159="Q","Queenstown",IF(Titanic_raw!L159="C","Cherbourg")))</f>
        <v>Southampton</v>
      </c>
    </row>
    <row r="160" spans="1:23" x14ac:dyDescent="0.2">
      <c r="A160" s="18">
        <f>Titanic_raw!A160</f>
        <v>1050</v>
      </c>
      <c r="B160" s="17">
        <f>Titanic_raw!B160</f>
        <v>0</v>
      </c>
      <c r="C160" s="17" t="str">
        <f t="shared" si="2"/>
        <v>Dead</v>
      </c>
      <c r="D160" s="17" t="str">
        <f>CONCATENATE(Titanic_raw!C160, " Class")</f>
        <v>1 Class</v>
      </c>
      <c r="E160" s="19" t="str">
        <f>INDEX(tbl_passenger[Full Name],MATCH(A160,tbl_passenger[PassengerId],0))</f>
        <v>Mr. John James Borebank</v>
      </c>
      <c r="F160" t="str">
        <f>INDEX(tbl_passenger[Sex],MATCH(A160,tbl_passenger[PassengerId],0))</f>
        <v>Male</v>
      </c>
      <c r="G160" t="str">
        <f>IF(tbl_figures[Age]&lt;20, "Teens (0-19)", IF(tbl_figures[Age] &lt;40, "Youth (20-39)", IF(tbl_figures[Age]&lt;60, "Adult (40-59)", IF(tbl_figures[Age]&gt;=60, "Elders (60-Above)"))))</f>
        <v>Adult (40-59)</v>
      </c>
      <c r="H160" s="25">
        <f>IF(ISBLANK(Titanic_raw!F160),$C$423,Titanic_raw!F160)</f>
        <v>42</v>
      </c>
      <c r="I160">
        <f>Titanic_raw!G160</f>
        <v>0</v>
      </c>
      <c r="J160">
        <f>Titanic_raw!H160</f>
        <v>0</v>
      </c>
      <c r="K160">
        <f>Titanic_raw!I160</f>
        <v>110489</v>
      </c>
      <c r="L160" s="26">
        <f>IF(ISBLANK(Titanic_raw!J160),$C$427,Titanic_raw!J160)</f>
        <v>26.55</v>
      </c>
      <c r="M160" t="str">
        <f>Titanic_raw!K160</f>
        <v>D22</v>
      </c>
      <c r="N160" t="str">
        <f>IF(Titanic_raw!L160="S","Southampton",IF(Titanic_raw!L160="Q","Queenstown",IF(Titanic_raw!L160="C","Cherbourg")))</f>
        <v>Southampton</v>
      </c>
    </row>
    <row r="161" spans="1:20" x14ac:dyDescent="0.2">
      <c r="A161" s="18">
        <f>Titanic_raw!A161</f>
        <v>1051</v>
      </c>
      <c r="B161" s="21">
        <f>Titanic_raw!B161</f>
        <v>1</v>
      </c>
      <c r="C161" s="21" t="str">
        <f t="shared" si="2"/>
        <v>Survived</v>
      </c>
      <c r="D161" s="21" t="str">
        <f>CONCATENATE(Titanic_raw!C161, " Class")</f>
        <v>3 Class</v>
      </c>
      <c r="E161" s="23" t="str">
        <f>INDEX(tbl_passenger[Full Name],MATCH(A161,tbl_passenger[PassengerId],0))</f>
        <v>Mrs. Benjamin (Edith Nile) Peacock</v>
      </c>
      <c r="F161" t="str">
        <f>INDEX(tbl_passenger[Sex],MATCH(A161,tbl_passenger[PassengerId],0))</f>
        <v>Female</v>
      </c>
      <c r="G161" t="str">
        <f>IF(tbl_figures[Age]&lt;20, "Teens (0-19)", IF(tbl_figures[Age] &lt;40, "Youth (20-39)", IF(tbl_figures[Age]&lt;60, "Adult (40-59)", IF(tbl_figures[Age]&gt;=60, "Elders (60-Above)"))))</f>
        <v>Youth (20-39)</v>
      </c>
      <c r="H161" s="25">
        <f>IF(ISBLANK(Titanic_raw!F161),$C$423,Titanic_raw!F161)</f>
        <v>26</v>
      </c>
      <c r="I161">
        <f>Titanic_raw!G161</f>
        <v>0</v>
      </c>
      <c r="J161">
        <f>Titanic_raw!H161</f>
        <v>2</v>
      </c>
      <c r="K161" t="str">
        <f>Titanic_raw!I161</f>
        <v>SOTON/O.Q. 3101315</v>
      </c>
      <c r="L161" s="26">
        <f>IF(ISBLANK(Titanic_raw!J161),$C$427,Titanic_raw!J161)</f>
        <v>13.775</v>
      </c>
      <c r="M161">
        <f>Titanic_raw!K161</f>
        <v>0</v>
      </c>
      <c r="N161" t="str">
        <f>IF(Titanic_raw!L161="S","Southampton",IF(Titanic_raw!L161="Q","Queenstown",IF(Titanic_raw!L161="C","Cherbourg")))</f>
        <v>Southampton</v>
      </c>
    </row>
    <row r="162" spans="1:20" x14ac:dyDescent="0.2">
      <c r="A162" s="18">
        <f>Titanic_raw!A162</f>
        <v>1052</v>
      </c>
      <c r="B162" s="17">
        <f>Titanic_raw!B162</f>
        <v>1</v>
      </c>
      <c r="C162" s="17" t="str">
        <f t="shared" si="2"/>
        <v>Survived</v>
      </c>
      <c r="D162" s="17" t="str">
        <f>CONCATENATE(Titanic_raw!C162, " Class")</f>
        <v>3 Class</v>
      </c>
      <c r="E162" s="19" t="str">
        <f>INDEX(tbl_passenger[Full Name],MATCH(A162,tbl_passenger[PassengerId],0))</f>
        <v>Miss. Julia Smyth</v>
      </c>
      <c r="F162" t="str">
        <f>INDEX(tbl_passenger[Sex],MATCH(A162,tbl_passenger[PassengerId],0))</f>
        <v>Female</v>
      </c>
      <c r="G162" t="str">
        <f>IF(tbl_figures[Age]&lt;20, "Teens (0-19)", IF(tbl_figures[Age] &lt;40, "Youth (20-39)", IF(tbl_figures[Age]&lt;60, "Adult (40-59)", IF(tbl_figures[Age]&gt;=60, "Elders (60-Above)"))))</f>
        <v>Youth (20-39)</v>
      </c>
      <c r="H162" s="25">
        <f>IF(ISBLANK(Titanic_raw!F162),$C$423,Titanic_raw!F162)</f>
        <v>30.272590325616491</v>
      </c>
      <c r="I162">
        <f>Titanic_raw!G162</f>
        <v>0</v>
      </c>
      <c r="J162">
        <f>Titanic_raw!H162</f>
        <v>0</v>
      </c>
      <c r="K162">
        <f>Titanic_raw!I162</f>
        <v>335432</v>
      </c>
      <c r="L162" s="26">
        <f>IF(ISBLANK(Titanic_raw!J162),$C$427,Titanic_raw!J162)</f>
        <v>7.7332999999999998</v>
      </c>
      <c r="M162">
        <f>Titanic_raw!K162</f>
        <v>0</v>
      </c>
      <c r="N162" t="str">
        <f>IF(Titanic_raw!L162="S","Southampton",IF(Titanic_raw!L162="Q","Queenstown",IF(Titanic_raw!L162="C","Cherbourg")))</f>
        <v>Queenstown</v>
      </c>
    </row>
    <row r="163" spans="1:20" x14ac:dyDescent="0.2">
      <c r="A163" s="18">
        <f>Titanic_raw!A163</f>
        <v>1053</v>
      </c>
      <c r="B163" s="21">
        <f>Titanic_raw!B163</f>
        <v>0</v>
      </c>
      <c r="C163" s="21" t="str">
        <f t="shared" si="2"/>
        <v>Dead</v>
      </c>
      <c r="D163" s="21" t="str">
        <f>CONCATENATE(Titanic_raw!C163, " Class")</f>
        <v>3 Class</v>
      </c>
      <c r="E163" s="23" t="str">
        <f>INDEX(tbl_passenger[Full Name],MATCH(A163,tbl_passenger[PassengerId],0))</f>
        <v>Master. Georges Youssef Touma</v>
      </c>
      <c r="F163" t="str">
        <f>INDEX(tbl_passenger[Sex],MATCH(A163,tbl_passenger[PassengerId],0))</f>
        <v>Male</v>
      </c>
      <c r="G163" t="str">
        <f>IF(tbl_figures[Age]&lt;20, "Teens (0-19)", IF(tbl_figures[Age] &lt;40, "Youth (20-39)", IF(tbl_figures[Age]&lt;60, "Adult (40-59)", IF(tbl_figures[Age]&gt;=60, "Elders (60-Above)"))))</f>
        <v>Teens (0-19)</v>
      </c>
      <c r="H163" s="25">
        <f>IF(ISBLANK(Titanic_raw!F163),$C$423,Titanic_raw!F163)</f>
        <v>7</v>
      </c>
      <c r="I163">
        <f>Titanic_raw!G163</f>
        <v>1</v>
      </c>
      <c r="J163">
        <f>Titanic_raw!H163</f>
        <v>1</v>
      </c>
      <c r="K163">
        <f>Titanic_raw!I163</f>
        <v>2650</v>
      </c>
      <c r="L163" s="26">
        <f>IF(ISBLANK(Titanic_raw!J163),$C$427,Titanic_raw!J163)</f>
        <v>15.245799999999999</v>
      </c>
      <c r="M163">
        <f>Titanic_raw!K163</f>
        <v>0</v>
      </c>
      <c r="N163" t="str">
        <f>IF(Titanic_raw!L163="S","Southampton",IF(Titanic_raw!L163="Q","Queenstown",IF(Titanic_raw!L163="C","Cherbourg")))</f>
        <v>Cherbourg</v>
      </c>
    </row>
    <row r="164" spans="1:20" x14ac:dyDescent="0.2">
      <c r="A164" s="18">
        <f>Titanic_raw!A164</f>
        <v>1054</v>
      </c>
      <c r="B164" s="17">
        <f>Titanic_raw!B164</f>
        <v>1</v>
      </c>
      <c r="C164" s="17" t="str">
        <f t="shared" si="2"/>
        <v>Survived</v>
      </c>
      <c r="D164" s="17" t="str">
        <f>CONCATENATE(Titanic_raw!C164, " Class")</f>
        <v>2 Class</v>
      </c>
      <c r="E164" s="19" t="str">
        <f>INDEX(tbl_passenger[Full Name],MATCH(A164,tbl_passenger[PassengerId],0))</f>
        <v>Miss. Marion Wright</v>
      </c>
      <c r="F164" t="str">
        <f>INDEX(tbl_passenger[Sex],MATCH(A164,tbl_passenger[PassengerId],0))</f>
        <v>Female</v>
      </c>
      <c r="G164" t="str">
        <f>IF(tbl_figures[Age]&lt;20, "Teens (0-19)", IF(tbl_figures[Age] &lt;40, "Youth (20-39)", IF(tbl_figures[Age]&lt;60, "Adult (40-59)", IF(tbl_figures[Age]&gt;=60, "Elders (60-Above)"))))</f>
        <v>Youth (20-39)</v>
      </c>
      <c r="H164" s="25">
        <f>IF(ISBLANK(Titanic_raw!F164),$C$423,Titanic_raw!F164)</f>
        <v>26</v>
      </c>
      <c r="I164">
        <f>Titanic_raw!G164</f>
        <v>0</v>
      </c>
      <c r="J164">
        <f>Titanic_raw!H164</f>
        <v>0</v>
      </c>
      <c r="K164">
        <f>Titanic_raw!I164</f>
        <v>220844</v>
      </c>
      <c r="L164" s="26">
        <f>IF(ISBLANK(Titanic_raw!J164),$C$427,Titanic_raw!J164)</f>
        <v>13.5</v>
      </c>
      <c r="M164">
        <f>Titanic_raw!K164</f>
        <v>0</v>
      </c>
      <c r="N164" t="str">
        <f>IF(Titanic_raw!L164="S","Southampton",IF(Titanic_raw!L164="Q","Queenstown",IF(Titanic_raw!L164="C","Cherbourg")))</f>
        <v>Southampton</v>
      </c>
    </row>
    <row r="165" spans="1:20" x14ac:dyDescent="0.2">
      <c r="A165" s="18">
        <f>Titanic_raw!A165</f>
        <v>1055</v>
      </c>
      <c r="B165" s="21">
        <f>Titanic_raw!B165</f>
        <v>0</v>
      </c>
      <c r="C165" s="21" t="str">
        <f t="shared" si="2"/>
        <v>Dead</v>
      </c>
      <c r="D165" s="21" t="str">
        <f>CONCATENATE(Titanic_raw!C165, " Class")</f>
        <v>3 Class</v>
      </c>
      <c r="E165" s="23" t="str">
        <f>INDEX(tbl_passenger[Full Name],MATCH(A165,tbl_passenger[PassengerId],0))</f>
        <v>Mr. Ernest Pearce</v>
      </c>
      <c r="F165" t="str">
        <f>INDEX(tbl_passenger[Sex],MATCH(A165,tbl_passenger[PassengerId],0))</f>
        <v>Male</v>
      </c>
      <c r="G165" t="str">
        <f>IF(tbl_figures[Age]&lt;20, "Teens (0-19)", IF(tbl_figures[Age] &lt;40, "Youth (20-39)", IF(tbl_figures[Age]&lt;60, "Adult (40-59)", IF(tbl_figures[Age]&gt;=60, "Elders (60-Above)"))))</f>
        <v>Youth (20-39)</v>
      </c>
      <c r="H165" s="25">
        <f>IF(ISBLANK(Titanic_raw!F165),$C$423,Titanic_raw!F165)</f>
        <v>30.272590325616491</v>
      </c>
      <c r="I165">
        <f>Titanic_raw!G165</f>
        <v>0</v>
      </c>
      <c r="J165">
        <f>Titanic_raw!H165</f>
        <v>0</v>
      </c>
      <c r="K165">
        <f>Titanic_raw!I165</f>
        <v>343271</v>
      </c>
      <c r="L165" s="26">
        <f>IF(ISBLANK(Titanic_raw!J165),$C$427,Titanic_raw!J165)</f>
        <v>7</v>
      </c>
      <c r="M165">
        <f>Titanic_raw!K165</f>
        <v>0</v>
      </c>
      <c r="N165" t="str">
        <f>IF(Titanic_raw!L165="S","Southampton",IF(Titanic_raw!L165="Q","Queenstown",IF(Titanic_raw!L165="C","Cherbourg")))</f>
        <v>Southampton</v>
      </c>
    </row>
    <row r="166" spans="1:20" x14ac:dyDescent="0.2">
      <c r="A166" s="18">
        <f>Titanic_raw!A166</f>
        <v>1056</v>
      </c>
      <c r="B166" s="17">
        <f>Titanic_raw!B166</f>
        <v>0</v>
      </c>
      <c r="C166" s="17" t="str">
        <f t="shared" si="2"/>
        <v>Dead</v>
      </c>
      <c r="D166" s="17" t="str">
        <f>CONCATENATE(Titanic_raw!C166, " Class")</f>
        <v>2 Class</v>
      </c>
      <c r="E166" s="19" t="str">
        <f>INDEX(tbl_passenger[Full Name],MATCH(A166,tbl_passenger[PassengerId],0))</f>
        <v>Rev. Joseph Maria Peruschitz</v>
      </c>
      <c r="F166" t="str">
        <f>INDEX(tbl_passenger[Sex],MATCH(A166,tbl_passenger[PassengerId],0))</f>
        <v>Male</v>
      </c>
      <c r="G166" t="str">
        <f>IF(tbl_figures[Age]&lt;20, "Teens (0-19)", IF(tbl_figures[Age] &lt;40, "Youth (20-39)", IF(tbl_figures[Age]&lt;60, "Adult (40-59)", IF(tbl_figures[Age]&gt;=60, "Elders (60-Above)"))))</f>
        <v>Adult (40-59)</v>
      </c>
      <c r="H166" s="25">
        <f>IF(ISBLANK(Titanic_raw!F166),$C$423,Titanic_raw!F166)</f>
        <v>41</v>
      </c>
      <c r="I166">
        <f>Titanic_raw!G166</f>
        <v>0</v>
      </c>
      <c r="J166">
        <f>Titanic_raw!H166</f>
        <v>0</v>
      </c>
      <c r="K166">
        <f>Titanic_raw!I166</f>
        <v>237393</v>
      </c>
      <c r="L166" s="26">
        <f>IF(ISBLANK(Titanic_raw!J166),$C$427,Titanic_raw!J166)</f>
        <v>13</v>
      </c>
      <c r="M166">
        <f>Titanic_raw!K166</f>
        <v>0</v>
      </c>
      <c r="N166" t="str">
        <f>IF(Titanic_raw!L166="S","Southampton",IF(Titanic_raw!L166="Q","Queenstown",IF(Titanic_raw!L166="C","Cherbourg")))</f>
        <v>Southampton</v>
      </c>
      <c r="T166" t="s">
        <v>678</v>
      </c>
    </row>
    <row r="167" spans="1:20" x14ac:dyDescent="0.2">
      <c r="A167" s="18">
        <f>Titanic_raw!A167</f>
        <v>1057</v>
      </c>
      <c r="B167" s="21">
        <f>Titanic_raw!B167</f>
        <v>1</v>
      </c>
      <c r="C167" s="21" t="str">
        <f t="shared" si="2"/>
        <v>Survived</v>
      </c>
      <c r="D167" s="21" t="str">
        <f>CONCATENATE(Titanic_raw!C167, " Class")</f>
        <v>3 Class</v>
      </c>
      <c r="E167" s="23" t="str">
        <f>INDEX(tbl_passenger[Full Name],MATCH(A167,tbl_passenger[PassengerId],0))</f>
        <v>Mrs. Anton (Luise Heilmann) Kink-Heilmann</v>
      </c>
      <c r="F167" t="str">
        <f>INDEX(tbl_passenger[Sex],MATCH(A167,tbl_passenger[PassengerId],0))</f>
        <v>Female</v>
      </c>
      <c r="G167" t="str">
        <f>IF(tbl_figures[Age]&lt;20, "Teens (0-19)", IF(tbl_figures[Age] &lt;40, "Youth (20-39)", IF(tbl_figures[Age]&lt;60, "Adult (40-59)", IF(tbl_figures[Age]&gt;=60, "Elders (60-Above)"))))</f>
        <v>Youth (20-39)</v>
      </c>
      <c r="H167" s="25">
        <f>IF(ISBLANK(Titanic_raw!F167),$C$423,Titanic_raw!F167)</f>
        <v>26</v>
      </c>
      <c r="I167">
        <f>Titanic_raw!G167</f>
        <v>1</v>
      </c>
      <c r="J167">
        <f>Titanic_raw!H167</f>
        <v>1</v>
      </c>
      <c r="K167">
        <f>Titanic_raw!I167</f>
        <v>315153</v>
      </c>
      <c r="L167" s="26">
        <f>IF(ISBLANK(Titanic_raw!J167),$C$427,Titanic_raw!J167)</f>
        <v>22.024999999999999</v>
      </c>
      <c r="M167">
        <f>Titanic_raw!K167</f>
        <v>0</v>
      </c>
      <c r="N167" t="str">
        <f>IF(Titanic_raw!L167="S","Southampton",IF(Titanic_raw!L167="Q","Queenstown",IF(Titanic_raw!L167="C","Cherbourg")))</f>
        <v>Southampton</v>
      </c>
      <c r="T167" t="s">
        <v>679</v>
      </c>
    </row>
    <row r="168" spans="1:20" x14ac:dyDescent="0.2">
      <c r="A168" s="18">
        <f>Titanic_raw!A168</f>
        <v>1058</v>
      </c>
      <c r="B168" s="17">
        <f>Titanic_raw!B168</f>
        <v>0</v>
      </c>
      <c r="C168" s="17" t="str">
        <f t="shared" si="2"/>
        <v>Dead</v>
      </c>
      <c r="D168" s="17" t="str">
        <f>CONCATENATE(Titanic_raw!C168, " Class")</f>
        <v>1 Class</v>
      </c>
      <c r="E168" s="19" t="str">
        <f>INDEX(tbl_passenger[Full Name],MATCH(A168,tbl_passenger[PassengerId],0))</f>
        <v>Mr. Emil Brandeis</v>
      </c>
      <c r="F168" t="str">
        <f>INDEX(tbl_passenger[Sex],MATCH(A168,tbl_passenger[PassengerId],0))</f>
        <v>Male</v>
      </c>
      <c r="G168" t="str">
        <f>IF(tbl_figures[Age]&lt;20, "Teens (0-19)", IF(tbl_figures[Age] &lt;40, "Youth (20-39)", IF(tbl_figures[Age]&lt;60, "Adult (40-59)", IF(tbl_figures[Age]&gt;=60, "Elders (60-Above)"))))</f>
        <v>Adult (40-59)</v>
      </c>
      <c r="H168" s="25">
        <f>IF(ISBLANK(Titanic_raw!F168),$C$423,Titanic_raw!F168)</f>
        <v>48</v>
      </c>
      <c r="I168">
        <f>Titanic_raw!G168</f>
        <v>0</v>
      </c>
      <c r="J168">
        <f>Titanic_raw!H168</f>
        <v>0</v>
      </c>
      <c r="K168" t="str">
        <f>Titanic_raw!I168</f>
        <v>PC 17591</v>
      </c>
      <c r="L168" s="26">
        <f>IF(ISBLANK(Titanic_raw!J168),$C$427,Titanic_raw!J168)</f>
        <v>50.495800000000003</v>
      </c>
      <c r="M168" t="str">
        <f>Titanic_raw!K168</f>
        <v>B10</v>
      </c>
      <c r="N168" t="str">
        <f>IF(Titanic_raw!L168="S","Southampton",IF(Titanic_raw!L168="Q","Queenstown",IF(Titanic_raw!L168="C","Cherbourg")))</f>
        <v>Cherbourg</v>
      </c>
    </row>
    <row r="169" spans="1:20" x14ac:dyDescent="0.2">
      <c r="A169" s="18">
        <f>Titanic_raw!A169</f>
        <v>1059</v>
      </c>
      <c r="B169" s="21">
        <f>Titanic_raw!B169</f>
        <v>0</v>
      </c>
      <c r="C169" s="21" t="str">
        <f t="shared" si="2"/>
        <v>Dead</v>
      </c>
      <c r="D169" s="21" t="str">
        <f>CONCATENATE(Titanic_raw!C169, " Class")</f>
        <v>3 Class</v>
      </c>
      <c r="E169" s="23" t="str">
        <f>INDEX(tbl_passenger[Full Name],MATCH(A169,tbl_passenger[PassengerId],0))</f>
        <v>Mr. Edward Watson Ford</v>
      </c>
      <c r="F169" t="str">
        <f>INDEX(tbl_passenger[Sex],MATCH(A169,tbl_passenger[PassengerId],0))</f>
        <v>Male</v>
      </c>
      <c r="G169" t="str">
        <f>IF(tbl_figures[Age]&lt;20, "Teens (0-19)", IF(tbl_figures[Age] &lt;40, "Youth (20-39)", IF(tbl_figures[Age]&lt;60, "Adult (40-59)", IF(tbl_figures[Age]&gt;=60, "Elders (60-Above)"))))</f>
        <v>Teens (0-19)</v>
      </c>
      <c r="H169" s="25">
        <f>IF(ISBLANK(Titanic_raw!F169),$C$423,Titanic_raw!F169)</f>
        <v>18</v>
      </c>
      <c r="I169">
        <f>Titanic_raw!G169</f>
        <v>2</v>
      </c>
      <c r="J169">
        <f>Titanic_raw!H169</f>
        <v>2</v>
      </c>
      <c r="K169" t="str">
        <f>Titanic_raw!I169</f>
        <v>W./C. 6608</v>
      </c>
      <c r="L169" s="26">
        <f>IF(ISBLANK(Titanic_raw!J169),$C$427,Titanic_raw!J169)</f>
        <v>34.375</v>
      </c>
      <c r="M169">
        <f>Titanic_raw!K169</f>
        <v>0</v>
      </c>
      <c r="N169" t="str">
        <f>IF(Titanic_raw!L169="S","Southampton",IF(Titanic_raw!L169="Q","Queenstown",IF(Titanic_raw!L169="C","Cherbourg")))</f>
        <v>Southampton</v>
      </c>
    </row>
    <row r="170" spans="1:20" x14ac:dyDescent="0.2">
      <c r="A170" s="18">
        <f>Titanic_raw!A170</f>
        <v>1060</v>
      </c>
      <c r="B170" s="17">
        <f>Titanic_raw!B170</f>
        <v>1</v>
      </c>
      <c r="C170" s="17" t="str">
        <f t="shared" si="2"/>
        <v>Survived</v>
      </c>
      <c r="D170" s="17" t="str">
        <f>CONCATENATE(Titanic_raw!C170, " Class")</f>
        <v>1 Class</v>
      </c>
      <c r="E170" s="19" t="str">
        <f>INDEX(tbl_passenger[Full Name],MATCH(A170,tbl_passenger[PassengerId],0))</f>
        <v>Mrs. Henry Arthur Jr (Eleanor Genevieve Fosdick) Cassebeer</v>
      </c>
      <c r="F170" t="str">
        <f>INDEX(tbl_passenger[Sex],MATCH(A170,tbl_passenger[PassengerId],0))</f>
        <v>Female</v>
      </c>
      <c r="G170" t="str">
        <f>IF(tbl_figures[Age]&lt;20, "Teens (0-19)", IF(tbl_figures[Age] &lt;40, "Youth (20-39)", IF(tbl_figures[Age]&lt;60, "Adult (40-59)", IF(tbl_figures[Age]&gt;=60, "Elders (60-Above)"))))</f>
        <v>Youth (20-39)</v>
      </c>
      <c r="H170" s="25">
        <f>IF(ISBLANK(Titanic_raw!F170),$C$423,Titanic_raw!F170)</f>
        <v>30.272590325616491</v>
      </c>
      <c r="I170">
        <f>Titanic_raw!G170</f>
        <v>0</v>
      </c>
      <c r="J170">
        <f>Titanic_raw!H170</f>
        <v>0</v>
      </c>
      <c r="K170">
        <f>Titanic_raw!I170</f>
        <v>17770</v>
      </c>
      <c r="L170" s="26">
        <f>IF(ISBLANK(Titanic_raw!J170),$C$427,Titanic_raw!J170)</f>
        <v>27.720800000000001</v>
      </c>
      <c r="M170">
        <f>Titanic_raw!K170</f>
        <v>0</v>
      </c>
      <c r="N170" t="str">
        <f>IF(Titanic_raw!L170="S","Southampton",IF(Titanic_raw!L170="Q","Queenstown",IF(Titanic_raw!L170="C","Cherbourg")))</f>
        <v>Cherbourg</v>
      </c>
    </row>
    <row r="171" spans="1:20" x14ac:dyDescent="0.2">
      <c r="A171" s="18">
        <f>Titanic_raw!A171</f>
        <v>1061</v>
      </c>
      <c r="B171" s="21">
        <f>Titanic_raw!B171</f>
        <v>1</v>
      </c>
      <c r="C171" s="21" t="str">
        <f t="shared" si="2"/>
        <v>Survived</v>
      </c>
      <c r="D171" s="21" t="str">
        <f>CONCATENATE(Titanic_raw!C171, " Class")</f>
        <v>3 Class</v>
      </c>
      <c r="E171" s="23" t="str">
        <f>INDEX(tbl_passenger[Full Name],MATCH(A171,tbl_passenger[PassengerId],0))</f>
        <v>Miss. Hilda Maria Hellstrom</v>
      </c>
      <c r="F171" t="str">
        <f>INDEX(tbl_passenger[Sex],MATCH(A171,tbl_passenger[PassengerId],0))</f>
        <v>Female</v>
      </c>
      <c r="G171" t="str">
        <f>IF(tbl_figures[Age]&lt;20, "Teens (0-19)", IF(tbl_figures[Age] &lt;40, "Youth (20-39)", IF(tbl_figures[Age]&lt;60, "Adult (40-59)", IF(tbl_figures[Age]&gt;=60, "Elders (60-Above)"))))</f>
        <v>Youth (20-39)</v>
      </c>
      <c r="H171" s="25">
        <f>IF(ISBLANK(Titanic_raw!F171),$C$423,Titanic_raw!F171)</f>
        <v>22</v>
      </c>
      <c r="I171">
        <f>Titanic_raw!G171</f>
        <v>0</v>
      </c>
      <c r="J171">
        <f>Titanic_raw!H171</f>
        <v>0</v>
      </c>
      <c r="K171">
        <f>Titanic_raw!I171</f>
        <v>7548</v>
      </c>
      <c r="L171" s="26">
        <f>IF(ISBLANK(Titanic_raw!J171),$C$427,Titanic_raw!J171)</f>
        <v>8.9625000000000004</v>
      </c>
      <c r="M171">
        <f>Titanic_raw!K171</f>
        <v>0</v>
      </c>
      <c r="N171" t="str">
        <f>IF(Titanic_raw!L171="S","Southampton",IF(Titanic_raw!L171="Q","Queenstown",IF(Titanic_raw!L171="C","Cherbourg")))</f>
        <v>Southampton</v>
      </c>
    </row>
    <row r="172" spans="1:20" x14ac:dyDescent="0.2">
      <c r="A172" s="18">
        <f>Titanic_raw!A172</f>
        <v>1062</v>
      </c>
      <c r="B172" s="17">
        <f>Titanic_raw!B172</f>
        <v>0</v>
      </c>
      <c r="C172" s="17" t="str">
        <f t="shared" si="2"/>
        <v>Dead</v>
      </c>
      <c r="D172" s="17" t="str">
        <f>CONCATENATE(Titanic_raw!C172, " Class")</f>
        <v>3 Class</v>
      </c>
      <c r="E172" s="19" t="str">
        <f>INDEX(tbl_passenger[Full Name],MATCH(A172,tbl_passenger[PassengerId],0))</f>
        <v>Mr. Simon Lithman</v>
      </c>
      <c r="F172" t="str">
        <f>INDEX(tbl_passenger[Sex],MATCH(A172,tbl_passenger[PassengerId],0))</f>
        <v>Male</v>
      </c>
      <c r="G172" t="str">
        <f>IF(tbl_figures[Age]&lt;20, "Teens (0-19)", IF(tbl_figures[Age] &lt;40, "Youth (20-39)", IF(tbl_figures[Age]&lt;60, "Adult (40-59)", IF(tbl_figures[Age]&gt;=60, "Elders (60-Above)"))))</f>
        <v>Youth (20-39)</v>
      </c>
      <c r="H172" s="25">
        <f>IF(ISBLANK(Titanic_raw!F172),$C$423,Titanic_raw!F172)</f>
        <v>30.272590325616491</v>
      </c>
      <c r="I172">
        <f>Titanic_raw!G172</f>
        <v>0</v>
      </c>
      <c r="J172">
        <f>Titanic_raw!H172</f>
        <v>0</v>
      </c>
      <c r="K172" t="str">
        <f>Titanic_raw!I172</f>
        <v>S.O./P.P. 251</v>
      </c>
      <c r="L172" s="26">
        <f>IF(ISBLANK(Titanic_raw!J172),$C$427,Titanic_raw!J172)</f>
        <v>7.55</v>
      </c>
      <c r="M172">
        <f>Titanic_raw!K172</f>
        <v>0</v>
      </c>
      <c r="N172" t="str">
        <f>IF(Titanic_raw!L172="S","Southampton",IF(Titanic_raw!L172="Q","Queenstown",IF(Titanic_raw!L172="C","Cherbourg")))</f>
        <v>Southampton</v>
      </c>
    </row>
    <row r="173" spans="1:20" x14ac:dyDescent="0.2">
      <c r="A173" s="18">
        <f>Titanic_raw!A173</f>
        <v>1063</v>
      </c>
      <c r="B173" s="21">
        <f>Titanic_raw!B173</f>
        <v>0</v>
      </c>
      <c r="C173" s="21" t="str">
        <f t="shared" si="2"/>
        <v>Dead</v>
      </c>
      <c r="D173" s="21" t="str">
        <f>CONCATENATE(Titanic_raw!C173, " Class")</f>
        <v>3 Class</v>
      </c>
      <c r="E173" s="23" t="str">
        <f>INDEX(tbl_passenger[Full Name],MATCH(A173,tbl_passenger[PassengerId],0))</f>
        <v>Mr. Ortin Zakarian</v>
      </c>
      <c r="F173" t="str">
        <f>INDEX(tbl_passenger[Sex],MATCH(A173,tbl_passenger[PassengerId],0))</f>
        <v>Male</v>
      </c>
      <c r="G173" t="str">
        <f>IF(tbl_figures[Age]&lt;20, "Teens (0-19)", IF(tbl_figures[Age] &lt;40, "Youth (20-39)", IF(tbl_figures[Age]&lt;60, "Adult (40-59)", IF(tbl_figures[Age]&gt;=60, "Elders (60-Above)"))))</f>
        <v>Youth (20-39)</v>
      </c>
      <c r="H173" s="25">
        <f>IF(ISBLANK(Titanic_raw!F173),$C$423,Titanic_raw!F173)</f>
        <v>27</v>
      </c>
      <c r="I173">
        <f>Titanic_raw!G173</f>
        <v>0</v>
      </c>
      <c r="J173">
        <f>Titanic_raw!H173</f>
        <v>0</v>
      </c>
      <c r="K173">
        <f>Titanic_raw!I173</f>
        <v>2670</v>
      </c>
      <c r="L173" s="26">
        <f>IF(ISBLANK(Titanic_raw!J173),$C$427,Titanic_raw!J173)</f>
        <v>7.2249999999999996</v>
      </c>
      <c r="M173">
        <f>Titanic_raw!K173</f>
        <v>0</v>
      </c>
      <c r="N173" t="str">
        <f>IF(Titanic_raw!L173="S","Southampton",IF(Titanic_raw!L173="Q","Queenstown",IF(Titanic_raw!L173="C","Cherbourg")))</f>
        <v>Cherbourg</v>
      </c>
    </row>
    <row r="174" spans="1:20" x14ac:dyDescent="0.2">
      <c r="A174" s="18">
        <f>Titanic_raw!A174</f>
        <v>1064</v>
      </c>
      <c r="B174" s="17">
        <f>Titanic_raw!B174</f>
        <v>0</v>
      </c>
      <c r="C174" s="17" t="str">
        <f t="shared" si="2"/>
        <v>Dead</v>
      </c>
      <c r="D174" s="17" t="str">
        <f>CONCATENATE(Titanic_raw!C174, " Class")</f>
        <v>3 Class</v>
      </c>
      <c r="E174" s="19" t="str">
        <f>INDEX(tbl_passenger[Full Name],MATCH(A174,tbl_passenger[PassengerId],0))</f>
        <v>Mr. Adolf Fredrik Dyker</v>
      </c>
      <c r="F174" t="str">
        <f>INDEX(tbl_passenger[Sex],MATCH(A174,tbl_passenger[PassengerId],0))</f>
        <v>Male</v>
      </c>
      <c r="G174" t="str">
        <f>IF(tbl_figures[Age]&lt;20, "Teens (0-19)", IF(tbl_figures[Age] &lt;40, "Youth (20-39)", IF(tbl_figures[Age]&lt;60, "Adult (40-59)", IF(tbl_figures[Age]&gt;=60, "Elders (60-Above)"))))</f>
        <v>Youth (20-39)</v>
      </c>
      <c r="H174" s="25">
        <f>IF(ISBLANK(Titanic_raw!F174),$C$423,Titanic_raw!F174)</f>
        <v>23</v>
      </c>
      <c r="I174">
        <f>Titanic_raw!G174</f>
        <v>1</v>
      </c>
      <c r="J174">
        <f>Titanic_raw!H174</f>
        <v>0</v>
      </c>
      <c r="K174">
        <f>Titanic_raw!I174</f>
        <v>347072</v>
      </c>
      <c r="L174" s="26">
        <f>IF(ISBLANK(Titanic_raw!J174),$C$427,Titanic_raw!J174)</f>
        <v>13.9</v>
      </c>
      <c r="M174">
        <f>Titanic_raw!K174</f>
        <v>0</v>
      </c>
      <c r="N174" t="str">
        <f>IF(Titanic_raw!L174="S","Southampton",IF(Titanic_raw!L174="Q","Queenstown",IF(Titanic_raw!L174="C","Cherbourg")))</f>
        <v>Southampton</v>
      </c>
    </row>
    <row r="175" spans="1:20" x14ac:dyDescent="0.2">
      <c r="A175" s="18">
        <f>Titanic_raw!A175</f>
        <v>1065</v>
      </c>
      <c r="B175" s="21">
        <f>Titanic_raw!B175</f>
        <v>0</v>
      </c>
      <c r="C175" s="21" t="str">
        <f t="shared" si="2"/>
        <v>Dead</v>
      </c>
      <c r="D175" s="21" t="str">
        <f>CONCATENATE(Titanic_raw!C175, " Class")</f>
        <v>3 Class</v>
      </c>
      <c r="E175" s="23" t="str">
        <f>INDEX(tbl_passenger[Full Name],MATCH(A175,tbl_passenger[PassengerId],0))</f>
        <v>Mr. Assad Torfa</v>
      </c>
      <c r="F175" t="str">
        <f>INDEX(tbl_passenger[Sex],MATCH(A175,tbl_passenger[PassengerId],0))</f>
        <v>Male</v>
      </c>
      <c r="G175" t="str">
        <f>IF(tbl_figures[Age]&lt;20, "Teens (0-19)", IF(tbl_figures[Age] &lt;40, "Youth (20-39)", IF(tbl_figures[Age]&lt;60, "Adult (40-59)", IF(tbl_figures[Age]&gt;=60, "Elders (60-Above)"))))</f>
        <v>Youth (20-39)</v>
      </c>
      <c r="H175" s="25">
        <f>IF(ISBLANK(Titanic_raw!F175),$C$423,Titanic_raw!F175)</f>
        <v>30.272590325616491</v>
      </c>
      <c r="I175">
        <f>Titanic_raw!G175</f>
        <v>0</v>
      </c>
      <c r="J175">
        <f>Titanic_raw!H175</f>
        <v>0</v>
      </c>
      <c r="K175">
        <f>Titanic_raw!I175</f>
        <v>2673</v>
      </c>
      <c r="L175" s="26">
        <f>IF(ISBLANK(Titanic_raw!J175),$C$427,Titanic_raw!J175)</f>
        <v>7.2291999999999996</v>
      </c>
      <c r="M175">
        <f>Titanic_raw!K175</f>
        <v>0</v>
      </c>
      <c r="N175" t="str">
        <f>IF(Titanic_raw!L175="S","Southampton",IF(Titanic_raw!L175="Q","Queenstown",IF(Titanic_raw!L175="C","Cherbourg")))</f>
        <v>Cherbourg</v>
      </c>
    </row>
    <row r="176" spans="1:20" x14ac:dyDescent="0.2">
      <c r="A176" s="18">
        <f>Titanic_raw!A176</f>
        <v>1066</v>
      </c>
      <c r="B176" s="17">
        <f>Titanic_raw!B176</f>
        <v>0</v>
      </c>
      <c r="C176" s="17" t="str">
        <f t="shared" si="2"/>
        <v>Dead</v>
      </c>
      <c r="D176" s="17" t="str">
        <f>CONCATENATE(Titanic_raw!C176, " Class")</f>
        <v>3 Class</v>
      </c>
      <c r="E176" s="19" t="str">
        <f>INDEX(tbl_passenger[Full Name],MATCH(A176,tbl_passenger[PassengerId],0))</f>
        <v>Mr. Carl Oscar Vilhelm Gustafsson Asplund</v>
      </c>
      <c r="F176" t="str">
        <f>INDEX(tbl_passenger[Sex],MATCH(A176,tbl_passenger[PassengerId],0))</f>
        <v>Male</v>
      </c>
      <c r="G176" t="str">
        <f>IF(tbl_figures[Age]&lt;20, "Teens (0-19)", IF(tbl_figures[Age] &lt;40, "Youth (20-39)", IF(tbl_figures[Age]&lt;60, "Adult (40-59)", IF(tbl_figures[Age]&gt;=60, "Elders (60-Above)"))))</f>
        <v>Adult (40-59)</v>
      </c>
      <c r="H176" s="25">
        <f>IF(ISBLANK(Titanic_raw!F176),$C$423,Titanic_raw!F176)</f>
        <v>40</v>
      </c>
      <c r="I176">
        <f>Titanic_raw!G176</f>
        <v>1</v>
      </c>
      <c r="J176">
        <f>Titanic_raw!H176</f>
        <v>5</v>
      </c>
      <c r="K176">
        <f>Titanic_raw!I176</f>
        <v>347077</v>
      </c>
      <c r="L176" s="26">
        <f>IF(ISBLANK(Titanic_raw!J176),$C$427,Titanic_raw!J176)</f>
        <v>31.387499999999999</v>
      </c>
      <c r="M176">
        <f>Titanic_raw!K176</f>
        <v>0</v>
      </c>
      <c r="N176" t="str">
        <f>IF(Titanic_raw!L176="S","Southampton",IF(Titanic_raw!L176="Q","Queenstown",IF(Titanic_raw!L176="C","Cherbourg")))</f>
        <v>Southampton</v>
      </c>
    </row>
    <row r="177" spans="1:14" x14ac:dyDescent="0.2">
      <c r="A177" s="18">
        <f>Titanic_raw!A177</f>
        <v>1067</v>
      </c>
      <c r="B177" s="21">
        <f>Titanic_raw!B177</f>
        <v>1</v>
      </c>
      <c r="C177" s="21" t="str">
        <f t="shared" si="2"/>
        <v>Survived</v>
      </c>
      <c r="D177" s="21" t="str">
        <f>CONCATENATE(Titanic_raw!C177, " Class")</f>
        <v>2 Class</v>
      </c>
      <c r="E177" s="23" t="str">
        <f>INDEX(tbl_passenger[Full Name],MATCH(A177,tbl_passenger[PassengerId],0))</f>
        <v>Miss. Edith Eileen Brown</v>
      </c>
      <c r="F177" t="str">
        <f>INDEX(tbl_passenger[Sex],MATCH(A177,tbl_passenger[PassengerId],0))</f>
        <v>Female</v>
      </c>
      <c r="G177" t="str">
        <f>IF(tbl_figures[Age]&lt;20, "Teens (0-19)", IF(tbl_figures[Age] &lt;40, "Youth (20-39)", IF(tbl_figures[Age]&lt;60, "Adult (40-59)", IF(tbl_figures[Age]&gt;=60, "Elders (60-Above)"))))</f>
        <v>Teens (0-19)</v>
      </c>
      <c r="H177" s="25">
        <f>IF(ISBLANK(Titanic_raw!F177),$C$423,Titanic_raw!F177)</f>
        <v>15</v>
      </c>
      <c r="I177">
        <f>Titanic_raw!G177</f>
        <v>0</v>
      </c>
      <c r="J177">
        <f>Titanic_raw!H177</f>
        <v>2</v>
      </c>
      <c r="K177">
        <f>Titanic_raw!I177</f>
        <v>29750</v>
      </c>
      <c r="L177" s="26">
        <f>IF(ISBLANK(Titanic_raw!J177),$C$427,Titanic_raw!J177)</f>
        <v>39</v>
      </c>
      <c r="M177">
        <f>Titanic_raw!K177</f>
        <v>0</v>
      </c>
      <c r="N177" t="str">
        <f>IF(Titanic_raw!L177="S","Southampton",IF(Titanic_raw!L177="Q","Queenstown",IF(Titanic_raw!L177="C","Cherbourg")))</f>
        <v>Southampton</v>
      </c>
    </row>
    <row r="178" spans="1:14" x14ac:dyDescent="0.2">
      <c r="A178" s="18">
        <f>Titanic_raw!A178</f>
        <v>1068</v>
      </c>
      <c r="B178" s="17">
        <f>Titanic_raw!B178</f>
        <v>1</v>
      </c>
      <c r="C178" s="17" t="str">
        <f t="shared" si="2"/>
        <v>Survived</v>
      </c>
      <c r="D178" s="17" t="str">
        <f>CONCATENATE(Titanic_raw!C178, " Class")</f>
        <v>2 Class</v>
      </c>
      <c r="E178" s="19" t="str">
        <f>INDEX(tbl_passenger[Full Name],MATCH(A178,tbl_passenger[PassengerId],0))</f>
        <v>Miss. Maude Sincock</v>
      </c>
      <c r="F178" t="str">
        <f>INDEX(tbl_passenger[Sex],MATCH(A178,tbl_passenger[PassengerId],0))</f>
        <v>Female</v>
      </c>
      <c r="G178" t="str">
        <f>IF(tbl_figures[Age]&lt;20, "Teens (0-19)", IF(tbl_figures[Age] &lt;40, "Youth (20-39)", IF(tbl_figures[Age]&lt;60, "Adult (40-59)", IF(tbl_figures[Age]&gt;=60, "Elders (60-Above)"))))</f>
        <v>Youth (20-39)</v>
      </c>
      <c r="H178" s="25">
        <f>IF(ISBLANK(Titanic_raw!F178),$C$423,Titanic_raw!F178)</f>
        <v>20</v>
      </c>
      <c r="I178">
        <f>Titanic_raw!G178</f>
        <v>0</v>
      </c>
      <c r="J178">
        <f>Titanic_raw!H178</f>
        <v>0</v>
      </c>
      <c r="K178" t="str">
        <f>Titanic_raw!I178</f>
        <v>C.A. 33112</v>
      </c>
      <c r="L178" s="26">
        <f>IF(ISBLANK(Titanic_raw!J178),$C$427,Titanic_raw!J178)</f>
        <v>36.75</v>
      </c>
      <c r="M178">
        <f>Titanic_raw!K178</f>
        <v>0</v>
      </c>
      <c r="N178" t="str">
        <f>IF(Titanic_raw!L178="S","Southampton",IF(Titanic_raw!L178="Q","Queenstown",IF(Titanic_raw!L178="C","Cherbourg")))</f>
        <v>Southampton</v>
      </c>
    </row>
    <row r="179" spans="1:14" x14ac:dyDescent="0.2">
      <c r="A179" s="18">
        <f>Titanic_raw!A179</f>
        <v>1069</v>
      </c>
      <c r="B179" s="21">
        <f>Titanic_raw!B179</f>
        <v>0</v>
      </c>
      <c r="C179" s="21" t="str">
        <f t="shared" si="2"/>
        <v>Dead</v>
      </c>
      <c r="D179" s="21" t="str">
        <f>CONCATENATE(Titanic_raw!C179, " Class")</f>
        <v>1 Class</v>
      </c>
      <c r="E179" s="23" t="str">
        <f>INDEX(tbl_passenger[Full Name],MATCH(A179,tbl_passenger[PassengerId],0))</f>
        <v>Mr. Charles Emil Henry Stengel</v>
      </c>
      <c r="F179" t="str">
        <f>INDEX(tbl_passenger[Sex],MATCH(A179,tbl_passenger[PassengerId],0))</f>
        <v>Male</v>
      </c>
      <c r="G179" t="str">
        <f>IF(tbl_figures[Age]&lt;20, "Teens (0-19)", IF(tbl_figures[Age] &lt;40, "Youth (20-39)", IF(tbl_figures[Age]&lt;60, "Adult (40-59)", IF(tbl_figures[Age]&gt;=60, "Elders (60-Above)"))))</f>
        <v>Adult (40-59)</v>
      </c>
      <c r="H179" s="25">
        <f>IF(ISBLANK(Titanic_raw!F179),$C$423,Titanic_raw!F179)</f>
        <v>54</v>
      </c>
      <c r="I179">
        <f>Titanic_raw!G179</f>
        <v>1</v>
      </c>
      <c r="J179">
        <f>Titanic_raw!H179</f>
        <v>0</v>
      </c>
      <c r="K179">
        <f>Titanic_raw!I179</f>
        <v>11778</v>
      </c>
      <c r="L179" s="26">
        <f>IF(ISBLANK(Titanic_raw!J179),$C$427,Titanic_raw!J179)</f>
        <v>55.441699999999997</v>
      </c>
      <c r="M179" t="str">
        <f>Titanic_raw!K179</f>
        <v>C116</v>
      </c>
      <c r="N179" t="str">
        <f>IF(Titanic_raw!L179="S","Southampton",IF(Titanic_raw!L179="Q","Queenstown",IF(Titanic_raw!L179="C","Cherbourg")))</f>
        <v>Cherbourg</v>
      </c>
    </row>
    <row r="180" spans="1:14" x14ac:dyDescent="0.2">
      <c r="A180" s="18">
        <f>Titanic_raw!A180</f>
        <v>1070</v>
      </c>
      <c r="B180" s="17">
        <f>Titanic_raw!B180</f>
        <v>1</v>
      </c>
      <c r="C180" s="17" t="str">
        <f t="shared" si="2"/>
        <v>Survived</v>
      </c>
      <c r="D180" s="17" t="str">
        <f>CONCATENATE(Titanic_raw!C180, " Class")</f>
        <v>2 Class</v>
      </c>
      <c r="E180" s="19" t="str">
        <f>INDEX(tbl_passenger[Full Name],MATCH(A180,tbl_passenger[PassengerId],0))</f>
        <v>Mrs. Allen Oliver (Nellie E Baumgardner) Becker</v>
      </c>
      <c r="F180" t="str">
        <f>INDEX(tbl_passenger[Sex],MATCH(A180,tbl_passenger[PassengerId],0))</f>
        <v>Female</v>
      </c>
      <c r="G180" t="str">
        <f>IF(tbl_figures[Age]&lt;20, "Teens (0-19)", IF(tbl_figures[Age] &lt;40, "Youth (20-39)", IF(tbl_figures[Age]&lt;60, "Adult (40-59)", IF(tbl_figures[Age]&gt;=60, "Elders (60-Above)"))))</f>
        <v>Youth (20-39)</v>
      </c>
      <c r="H180" s="25">
        <f>IF(ISBLANK(Titanic_raw!F180),$C$423,Titanic_raw!F180)</f>
        <v>36</v>
      </c>
      <c r="I180">
        <f>Titanic_raw!G180</f>
        <v>0</v>
      </c>
      <c r="J180">
        <f>Titanic_raw!H180</f>
        <v>3</v>
      </c>
      <c r="K180">
        <f>Titanic_raw!I180</f>
        <v>230136</v>
      </c>
      <c r="L180" s="26">
        <f>IF(ISBLANK(Titanic_raw!J180),$C$427,Titanic_raw!J180)</f>
        <v>39</v>
      </c>
      <c r="M180" t="str">
        <f>Titanic_raw!K180</f>
        <v>F4</v>
      </c>
      <c r="N180" t="str">
        <f>IF(Titanic_raw!L180="S","Southampton",IF(Titanic_raw!L180="Q","Queenstown",IF(Titanic_raw!L180="C","Cherbourg")))</f>
        <v>Southampton</v>
      </c>
    </row>
    <row r="181" spans="1:14" x14ac:dyDescent="0.2">
      <c r="A181" s="18">
        <f>Titanic_raw!A181</f>
        <v>1071</v>
      </c>
      <c r="B181" s="21">
        <f>Titanic_raw!B181</f>
        <v>1</v>
      </c>
      <c r="C181" s="21" t="str">
        <f t="shared" si="2"/>
        <v>Survived</v>
      </c>
      <c r="D181" s="21" t="str">
        <f>CONCATENATE(Titanic_raw!C181, " Class")</f>
        <v>1 Class</v>
      </c>
      <c r="E181" s="23" t="str">
        <f>INDEX(tbl_passenger[Full Name],MATCH(A181,tbl_passenger[PassengerId],0))</f>
        <v>Mrs. Alexander Taylor (Mary Eliza Ingersoll) Compton</v>
      </c>
      <c r="F181" t="str">
        <f>INDEX(tbl_passenger[Sex],MATCH(A181,tbl_passenger[PassengerId],0))</f>
        <v>Female</v>
      </c>
      <c r="G181" t="str">
        <f>IF(tbl_figures[Age]&lt;20, "Teens (0-19)", IF(tbl_figures[Age] &lt;40, "Youth (20-39)", IF(tbl_figures[Age]&lt;60, "Adult (40-59)", IF(tbl_figures[Age]&gt;=60, "Elders (60-Above)"))))</f>
        <v>Elders (60-Above)</v>
      </c>
      <c r="H181" s="25">
        <f>IF(ISBLANK(Titanic_raw!F181),$C$423,Titanic_raw!F181)</f>
        <v>64</v>
      </c>
      <c r="I181">
        <f>Titanic_raw!G181</f>
        <v>0</v>
      </c>
      <c r="J181">
        <f>Titanic_raw!H181</f>
        <v>2</v>
      </c>
      <c r="K181" t="str">
        <f>Titanic_raw!I181</f>
        <v>PC 17756</v>
      </c>
      <c r="L181" s="26">
        <f>IF(ISBLANK(Titanic_raw!J181),$C$427,Titanic_raw!J181)</f>
        <v>83.158299999999997</v>
      </c>
      <c r="M181" t="str">
        <f>Titanic_raw!K181</f>
        <v>E45</v>
      </c>
      <c r="N181" t="str">
        <f>IF(Titanic_raw!L181="S","Southampton",IF(Titanic_raw!L181="Q","Queenstown",IF(Titanic_raw!L181="C","Cherbourg")))</f>
        <v>Cherbourg</v>
      </c>
    </row>
    <row r="182" spans="1:14" x14ac:dyDescent="0.2">
      <c r="A182" s="18">
        <f>Titanic_raw!A182</f>
        <v>1072</v>
      </c>
      <c r="B182" s="17">
        <f>Titanic_raw!B182</f>
        <v>0</v>
      </c>
      <c r="C182" s="17" t="str">
        <f t="shared" si="2"/>
        <v>Dead</v>
      </c>
      <c r="D182" s="17" t="str">
        <f>CONCATENATE(Titanic_raw!C182, " Class")</f>
        <v>2 Class</v>
      </c>
      <c r="E182" s="19" t="str">
        <f>INDEX(tbl_passenger[Full Name],MATCH(A182,tbl_passenger[PassengerId],0))</f>
        <v>Mr. James Matthew McCrie</v>
      </c>
      <c r="F182" t="str">
        <f>INDEX(tbl_passenger[Sex],MATCH(A182,tbl_passenger[PassengerId],0))</f>
        <v>Male</v>
      </c>
      <c r="G182" t="str">
        <f>IF(tbl_figures[Age]&lt;20, "Teens (0-19)", IF(tbl_figures[Age] &lt;40, "Youth (20-39)", IF(tbl_figures[Age]&lt;60, "Adult (40-59)", IF(tbl_figures[Age]&gt;=60, "Elders (60-Above)"))))</f>
        <v>Youth (20-39)</v>
      </c>
      <c r="H182" s="25">
        <f>IF(ISBLANK(Titanic_raw!F182),$C$423,Titanic_raw!F182)</f>
        <v>30</v>
      </c>
      <c r="I182">
        <f>Titanic_raw!G182</f>
        <v>0</v>
      </c>
      <c r="J182">
        <f>Titanic_raw!H182</f>
        <v>0</v>
      </c>
      <c r="K182">
        <f>Titanic_raw!I182</f>
        <v>233478</v>
      </c>
      <c r="L182" s="26">
        <f>IF(ISBLANK(Titanic_raw!J182),$C$427,Titanic_raw!J182)</f>
        <v>13</v>
      </c>
      <c r="M182">
        <f>Titanic_raw!K182</f>
        <v>0</v>
      </c>
      <c r="N182" t="str">
        <f>IF(Titanic_raw!L182="S","Southampton",IF(Titanic_raw!L182="Q","Queenstown",IF(Titanic_raw!L182="C","Cherbourg")))</f>
        <v>Southampton</v>
      </c>
    </row>
    <row r="183" spans="1:14" x14ac:dyDescent="0.2">
      <c r="A183" s="18">
        <f>Titanic_raw!A183</f>
        <v>1073</v>
      </c>
      <c r="B183" s="21">
        <f>Titanic_raw!B183</f>
        <v>0</v>
      </c>
      <c r="C183" s="21" t="str">
        <f t="shared" si="2"/>
        <v>Dead</v>
      </c>
      <c r="D183" s="21" t="str">
        <f>CONCATENATE(Titanic_raw!C183, " Class")</f>
        <v>1 Class</v>
      </c>
      <c r="E183" s="23" t="str">
        <f>INDEX(tbl_passenger[Full Name],MATCH(A183,tbl_passenger[PassengerId],0))</f>
        <v>Mr. Alexander Taylor Jr Compton</v>
      </c>
      <c r="F183" t="str">
        <f>INDEX(tbl_passenger[Sex],MATCH(A183,tbl_passenger[PassengerId],0))</f>
        <v>Male</v>
      </c>
      <c r="G183" t="str">
        <f>IF(tbl_figures[Age]&lt;20, "Teens (0-19)", IF(tbl_figures[Age] &lt;40, "Youth (20-39)", IF(tbl_figures[Age]&lt;60, "Adult (40-59)", IF(tbl_figures[Age]&gt;=60, "Elders (60-Above)"))))</f>
        <v>Youth (20-39)</v>
      </c>
      <c r="H183" s="25">
        <f>IF(ISBLANK(Titanic_raw!F183),$C$423,Titanic_raw!F183)</f>
        <v>37</v>
      </c>
      <c r="I183">
        <f>Titanic_raw!G183</f>
        <v>1</v>
      </c>
      <c r="J183">
        <f>Titanic_raw!H183</f>
        <v>1</v>
      </c>
      <c r="K183" t="str">
        <f>Titanic_raw!I183</f>
        <v>PC 17756</v>
      </c>
      <c r="L183" s="26">
        <f>IF(ISBLANK(Titanic_raw!J183),$C$427,Titanic_raw!J183)</f>
        <v>83.158299999999997</v>
      </c>
      <c r="M183" t="str">
        <f>Titanic_raw!K183</f>
        <v>E52</v>
      </c>
      <c r="N183" t="str">
        <f>IF(Titanic_raw!L183="S","Southampton",IF(Titanic_raw!L183="Q","Queenstown",IF(Titanic_raw!L183="C","Cherbourg")))</f>
        <v>Cherbourg</v>
      </c>
    </row>
    <row r="184" spans="1:14" x14ac:dyDescent="0.2">
      <c r="A184" s="18">
        <f>Titanic_raw!A184</f>
        <v>1074</v>
      </c>
      <c r="B184" s="17">
        <f>Titanic_raw!B184</f>
        <v>1</v>
      </c>
      <c r="C184" s="17" t="str">
        <f t="shared" si="2"/>
        <v>Survived</v>
      </c>
      <c r="D184" s="17" t="str">
        <f>CONCATENATE(Titanic_raw!C184, " Class")</f>
        <v>1 Class</v>
      </c>
      <c r="E184" s="19" t="str">
        <f>INDEX(tbl_passenger[Full Name],MATCH(A184,tbl_passenger[PassengerId],0))</f>
        <v>Mrs. Daniel Warner (Mary Graham Carmichael Farquarson) Marvin</v>
      </c>
      <c r="F184" t="str">
        <f>INDEX(tbl_passenger[Sex],MATCH(A184,tbl_passenger[PassengerId],0))</f>
        <v>Female</v>
      </c>
      <c r="G184" t="str">
        <f>IF(tbl_figures[Age]&lt;20, "Teens (0-19)", IF(tbl_figures[Age] &lt;40, "Youth (20-39)", IF(tbl_figures[Age]&lt;60, "Adult (40-59)", IF(tbl_figures[Age]&gt;=60, "Elders (60-Above)"))))</f>
        <v>Teens (0-19)</v>
      </c>
      <c r="H184" s="25">
        <f>IF(ISBLANK(Titanic_raw!F184),$C$423,Titanic_raw!F184)</f>
        <v>18</v>
      </c>
      <c r="I184">
        <f>Titanic_raw!G184</f>
        <v>1</v>
      </c>
      <c r="J184">
        <f>Titanic_raw!H184</f>
        <v>0</v>
      </c>
      <c r="K184">
        <f>Titanic_raw!I184</f>
        <v>113773</v>
      </c>
      <c r="L184" s="26">
        <f>IF(ISBLANK(Titanic_raw!J184),$C$427,Titanic_raw!J184)</f>
        <v>53.1</v>
      </c>
      <c r="M184" t="str">
        <f>Titanic_raw!K184</f>
        <v>D30</v>
      </c>
      <c r="N184" t="str">
        <f>IF(Titanic_raw!L184="S","Southampton",IF(Titanic_raw!L184="Q","Queenstown",IF(Titanic_raw!L184="C","Cherbourg")))</f>
        <v>Southampton</v>
      </c>
    </row>
    <row r="185" spans="1:14" x14ac:dyDescent="0.2">
      <c r="A185" s="18">
        <f>Titanic_raw!A185</f>
        <v>1075</v>
      </c>
      <c r="B185" s="21">
        <f>Titanic_raw!B185</f>
        <v>0</v>
      </c>
      <c r="C185" s="21" t="str">
        <f t="shared" si="2"/>
        <v>Dead</v>
      </c>
      <c r="D185" s="21" t="str">
        <f>CONCATENATE(Titanic_raw!C185, " Class")</f>
        <v>3 Class</v>
      </c>
      <c r="E185" s="23" t="str">
        <f>INDEX(tbl_passenger[Full Name],MATCH(A185,tbl_passenger[PassengerId],0))</f>
        <v>Mr. Patrick Lane</v>
      </c>
      <c r="F185" t="str">
        <f>INDEX(tbl_passenger[Sex],MATCH(A185,tbl_passenger[PassengerId],0))</f>
        <v>Male</v>
      </c>
      <c r="G185" t="str">
        <f>IF(tbl_figures[Age]&lt;20, "Teens (0-19)", IF(tbl_figures[Age] &lt;40, "Youth (20-39)", IF(tbl_figures[Age]&lt;60, "Adult (40-59)", IF(tbl_figures[Age]&gt;=60, "Elders (60-Above)"))))</f>
        <v>Youth (20-39)</v>
      </c>
      <c r="H185" s="25">
        <f>IF(ISBLANK(Titanic_raw!F185),$C$423,Titanic_raw!F185)</f>
        <v>30.272590325616491</v>
      </c>
      <c r="I185">
        <f>Titanic_raw!G185</f>
        <v>0</v>
      </c>
      <c r="J185">
        <f>Titanic_raw!H185</f>
        <v>0</v>
      </c>
      <c r="K185">
        <f>Titanic_raw!I185</f>
        <v>7935</v>
      </c>
      <c r="L185" s="26">
        <f>IF(ISBLANK(Titanic_raw!J185),$C$427,Titanic_raw!J185)</f>
        <v>7.75</v>
      </c>
      <c r="M185">
        <f>Titanic_raw!K185</f>
        <v>0</v>
      </c>
      <c r="N185" t="str">
        <f>IF(Titanic_raw!L185="S","Southampton",IF(Titanic_raw!L185="Q","Queenstown",IF(Titanic_raw!L185="C","Cherbourg")))</f>
        <v>Queenstown</v>
      </c>
    </row>
    <row r="186" spans="1:14" x14ac:dyDescent="0.2">
      <c r="A186" s="18">
        <f>Titanic_raw!A186</f>
        <v>1076</v>
      </c>
      <c r="B186" s="17">
        <f>Titanic_raw!B186</f>
        <v>1</v>
      </c>
      <c r="C186" s="17" t="str">
        <f t="shared" si="2"/>
        <v>Survived</v>
      </c>
      <c r="D186" s="17" t="str">
        <f>CONCATENATE(Titanic_raw!C186, " Class")</f>
        <v>1 Class</v>
      </c>
      <c r="E186" s="19" t="str">
        <f>INDEX(tbl_passenger[Full Name],MATCH(A186,tbl_passenger[PassengerId],0))</f>
        <v>Mrs. Frederick Charles (Mary Helene Baxter) Douglas</v>
      </c>
      <c r="F186" t="str">
        <f>INDEX(tbl_passenger[Sex],MATCH(A186,tbl_passenger[PassengerId],0))</f>
        <v>Female</v>
      </c>
      <c r="G186" t="str">
        <f>IF(tbl_figures[Age]&lt;20, "Teens (0-19)", IF(tbl_figures[Age] &lt;40, "Youth (20-39)", IF(tbl_figures[Age]&lt;60, "Adult (40-59)", IF(tbl_figures[Age]&gt;=60, "Elders (60-Above)"))))</f>
        <v>Youth (20-39)</v>
      </c>
      <c r="H186" s="25">
        <f>IF(ISBLANK(Titanic_raw!F186),$C$423,Titanic_raw!F186)</f>
        <v>27</v>
      </c>
      <c r="I186">
        <f>Titanic_raw!G186</f>
        <v>1</v>
      </c>
      <c r="J186">
        <f>Titanic_raw!H186</f>
        <v>1</v>
      </c>
      <c r="K186" t="str">
        <f>Titanic_raw!I186</f>
        <v>PC 17558</v>
      </c>
      <c r="L186" s="26">
        <f>IF(ISBLANK(Titanic_raw!J186),$C$427,Titanic_raw!J186)</f>
        <v>247.52080000000001</v>
      </c>
      <c r="M186" t="str">
        <f>Titanic_raw!K186</f>
        <v>B58 B60</v>
      </c>
      <c r="N186" t="str">
        <f>IF(Titanic_raw!L186="S","Southampton",IF(Titanic_raw!L186="Q","Queenstown",IF(Titanic_raw!L186="C","Cherbourg")))</f>
        <v>Cherbourg</v>
      </c>
    </row>
    <row r="187" spans="1:14" x14ac:dyDescent="0.2">
      <c r="A187" s="18">
        <f>Titanic_raw!A187</f>
        <v>1077</v>
      </c>
      <c r="B187" s="21">
        <f>Titanic_raw!B187</f>
        <v>0</v>
      </c>
      <c r="C187" s="21" t="str">
        <f t="shared" si="2"/>
        <v>Dead</v>
      </c>
      <c r="D187" s="21" t="str">
        <f>CONCATENATE(Titanic_raw!C187, " Class")</f>
        <v>2 Class</v>
      </c>
      <c r="E187" s="23" t="str">
        <f>INDEX(tbl_passenger[Full Name],MATCH(A187,tbl_passenger[PassengerId],0))</f>
        <v>Mr. Frank Hubert Maybery</v>
      </c>
      <c r="F187" t="str">
        <f>INDEX(tbl_passenger[Sex],MATCH(A187,tbl_passenger[PassengerId],0))</f>
        <v>Male</v>
      </c>
      <c r="G187" t="str">
        <f>IF(tbl_figures[Age]&lt;20, "Teens (0-19)", IF(tbl_figures[Age] &lt;40, "Youth (20-39)", IF(tbl_figures[Age]&lt;60, "Adult (40-59)", IF(tbl_figures[Age]&gt;=60, "Elders (60-Above)"))))</f>
        <v>Adult (40-59)</v>
      </c>
      <c r="H187" s="25">
        <f>IF(ISBLANK(Titanic_raw!F187),$C$423,Titanic_raw!F187)</f>
        <v>40</v>
      </c>
      <c r="I187">
        <f>Titanic_raw!G187</f>
        <v>0</v>
      </c>
      <c r="J187">
        <f>Titanic_raw!H187</f>
        <v>0</v>
      </c>
      <c r="K187">
        <f>Titanic_raw!I187</f>
        <v>239059</v>
      </c>
      <c r="L187" s="26">
        <f>IF(ISBLANK(Titanic_raw!J187),$C$427,Titanic_raw!J187)</f>
        <v>16</v>
      </c>
      <c r="M187">
        <f>Titanic_raw!K187</f>
        <v>0</v>
      </c>
      <c r="N187" t="str">
        <f>IF(Titanic_raw!L187="S","Southampton",IF(Titanic_raw!L187="Q","Queenstown",IF(Titanic_raw!L187="C","Cherbourg")))</f>
        <v>Southampton</v>
      </c>
    </row>
    <row r="188" spans="1:14" x14ac:dyDescent="0.2">
      <c r="A188" s="18">
        <f>Titanic_raw!A188</f>
        <v>1078</v>
      </c>
      <c r="B188" s="17">
        <f>Titanic_raw!B188</f>
        <v>1</v>
      </c>
      <c r="C188" s="17" t="str">
        <f t="shared" si="2"/>
        <v>Survived</v>
      </c>
      <c r="D188" s="17" t="str">
        <f>CONCATENATE(Titanic_raw!C188, " Class")</f>
        <v>2 Class</v>
      </c>
      <c r="E188" s="19" t="str">
        <f>INDEX(tbl_passenger[Full Name],MATCH(A188,tbl_passenger[PassengerId],0))</f>
        <v>Miss. Alice Frances Louisa Phillips</v>
      </c>
      <c r="F188" t="str">
        <f>INDEX(tbl_passenger[Sex],MATCH(A188,tbl_passenger[PassengerId],0))</f>
        <v>Female</v>
      </c>
      <c r="G188" t="str">
        <f>IF(tbl_figures[Age]&lt;20, "Teens (0-19)", IF(tbl_figures[Age] &lt;40, "Youth (20-39)", IF(tbl_figures[Age]&lt;60, "Adult (40-59)", IF(tbl_figures[Age]&gt;=60, "Elders (60-Above)"))))</f>
        <v>Youth (20-39)</v>
      </c>
      <c r="H188" s="25">
        <f>IF(ISBLANK(Titanic_raw!F188),$C$423,Titanic_raw!F188)</f>
        <v>21</v>
      </c>
      <c r="I188">
        <f>Titanic_raw!G188</f>
        <v>0</v>
      </c>
      <c r="J188">
        <f>Titanic_raw!H188</f>
        <v>1</v>
      </c>
      <c r="K188" t="str">
        <f>Titanic_raw!I188</f>
        <v>S.O./P.P. 2</v>
      </c>
      <c r="L188" s="26">
        <f>IF(ISBLANK(Titanic_raw!J188),$C$427,Titanic_raw!J188)</f>
        <v>21</v>
      </c>
      <c r="M188">
        <f>Titanic_raw!K188</f>
        <v>0</v>
      </c>
      <c r="N188" t="str">
        <f>IF(Titanic_raw!L188="S","Southampton",IF(Titanic_raw!L188="Q","Queenstown",IF(Titanic_raw!L188="C","Cherbourg")))</f>
        <v>Southampton</v>
      </c>
    </row>
    <row r="189" spans="1:14" x14ac:dyDescent="0.2">
      <c r="A189" s="18">
        <f>Titanic_raw!A189</f>
        <v>1079</v>
      </c>
      <c r="B189" s="21">
        <f>Titanic_raw!B189</f>
        <v>0</v>
      </c>
      <c r="C189" s="21" t="str">
        <f t="shared" si="2"/>
        <v>Dead</v>
      </c>
      <c r="D189" s="21" t="str">
        <f>CONCATENATE(Titanic_raw!C189, " Class")</f>
        <v>3 Class</v>
      </c>
      <c r="E189" s="23" t="str">
        <f>INDEX(tbl_passenger[Full Name],MATCH(A189,tbl_passenger[PassengerId],0))</f>
        <v>Mr. Joseph Davies</v>
      </c>
      <c r="F189" t="str">
        <f>INDEX(tbl_passenger[Sex],MATCH(A189,tbl_passenger[PassengerId],0))</f>
        <v>Male</v>
      </c>
      <c r="G189" t="str">
        <f>IF(tbl_figures[Age]&lt;20, "Teens (0-19)", IF(tbl_figures[Age] &lt;40, "Youth (20-39)", IF(tbl_figures[Age]&lt;60, "Adult (40-59)", IF(tbl_figures[Age]&gt;=60, "Elders (60-Above)"))))</f>
        <v>Teens (0-19)</v>
      </c>
      <c r="H189" s="25">
        <f>IF(ISBLANK(Titanic_raw!F189),$C$423,Titanic_raw!F189)</f>
        <v>17</v>
      </c>
      <c r="I189">
        <f>Titanic_raw!G189</f>
        <v>2</v>
      </c>
      <c r="J189">
        <f>Titanic_raw!H189</f>
        <v>0</v>
      </c>
      <c r="K189" t="str">
        <f>Titanic_raw!I189</f>
        <v>A/4 48873</v>
      </c>
      <c r="L189" s="26">
        <f>IF(ISBLANK(Titanic_raw!J189),$C$427,Titanic_raw!J189)</f>
        <v>8.0500000000000007</v>
      </c>
      <c r="M189">
        <f>Titanic_raw!K189</f>
        <v>0</v>
      </c>
      <c r="N189" t="str">
        <f>IF(Titanic_raw!L189="S","Southampton",IF(Titanic_raw!L189="Q","Queenstown",IF(Titanic_raw!L189="C","Cherbourg")))</f>
        <v>Southampton</v>
      </c>
    </row>
    <row r="190" spans="1:14" x14ac:dyDescent="0.2">
      <c r="A190" s="18">
        <f>Titanic_raw!A190</f>
        <v>1080</v>
      </c>
      <c r="B190" s="17">
        <f>Titanic_raw!B190</f>
        <v>1</v>
      </c>
      <c r="C190" s="17" t="str">
        <f t="shared" si="2"/>
        <v>Survived</v>
      </c>
      <c r="D190" s="17" t="str">
        <f>CONCATENATE(Titanic_raw!C190, " Class")</f>
        <v>3 Class</v>
      </c>
      <c r="E190" s="19" t="str">
        <f>INDEX(tbl_passenger[Full Name],MATCH(A190,tbl_passenger[PassengerId],0))</f>
        <v>Miss. Ada Sage</v>
      </c>
      <c r="F190" t="str">
        <f>INDEX(tbl_passenger[Sex],MATCH(A190,tbl_passenger[PassengerId],0))</f>
        <v>Female</v>
      </c>
      <c r="G190" t="str">
        <f>IF(tbl_figures[Age]&lt;20, "Teens (0-19)", IF(tbl_figures[Age] &lt;40, "Youth (20-39)", IF(tbl_figures[Age]&lt;60, "Adult (40-59)", IF(tbl_figures[Age]&gt;=60, "Elders (60-Above)"))))</f>
        <v>Youth (20-39)</v>
      </c>
      <c r="H190" s="25">
        <f>IF(ISBLANK(Titanic_raw!F190),$C$423,Titanic_raw!F190)</f>
        <v>30.272590325616491</v>
      </c>
      <c r="I190">
        <f>Titanic_raw!G190</f>
        <v>8</v>
      </c>
      <c r="J190">
        <f>Titanic_raw!H190</f>
        <v>2</v>
      </c>
      <c r="K190" t="str">
        <f>Titanic_raw!I190</f>
        <v>CA. 2343</v>
      </c>
      <c r="L190" s="26">
        <f>IF(ISBLANK(Titanic_raw!J190),$C$427,Titanic_raw!J190)</f>
        <v>69.55</v>
      </c>
      <c r="M190">
        <f>Titanic_raw!K190</f>
        <v>0</v>
      </c>
      <c r="N190" t="str">
        <f>IF(Titanic_raw!L190="S","Southampton",IF(Titanic_raw!L190="Q","Queenstown",IF(Titanic_raw!L190="C","Cherbourg")))</f>
        <v>Southampton</v>
      </c>
    </row>
    <row r="191" spans="1:14" x14ac:dyDescent="0.2">
      <c r="A191" s="18">
        <f>Titanic_raw!A191</f>
        <v>1081</v>
      </c>
      <c r="B191" s="21">
        <f>Titanic_raw!B191</f>
        <v>0</v>
      </c>
      <c r="C191" s="21" t="str">
        <f t="shared" si="2"/>
        <v>Dead</v>
      </c>
      <c r="D191" s="21" t="str">
        <f>CONCATENATE(Titanic_raw!C191, " Class")</f>
        <v>2 Class</v>
      </c>
      <c r="E191" s="23" t="str">
        <f>INDEX(tbl_passenger[Full Name],MATCH(A191,tbl_passenger[PassengerId],0))</f>
        <v>Mr. James Veal</v>
      </c>
      <c r="F191" t="str">
        <f>INDEX(tbl_passenger[Sex],MATCH(A191,tbl_passenger[PassengerId],0))</f>
        <v>Male</v>
      </c>
      <c r="G191" t="str">
        <f>IF(tbl_figures[Age]&lt;20, "Teens (0-19)", IF(tbl_figures[Age] &lt;40, "Youth (20-39)", IF(tbl_figures[Age]&lt;60, "Adult (40-59)", IF(tbl_figures[Age]&gt;=60, "Elders (60-Above)"))))</f>
        <v>Adult (40-59)</v>
      </c>
      <c r="H191" s="25">
        <f>IF(ISBLANK(Titanic_raw!F191),$C$423,Titanic_raw!F191)</f>
        <v>40</v>
      </c>
      <c r="I191">
        <f>Titanic_raw!G191</f>
        <v>0</v>
      </c>
      <c r="J191">
        <f>Titanic_raw!H191</f>
        <v>0</v>
      </c>
      <c r="K191">
        <f>Titanic_raw!I191</f>
        <v>28221</v>
      </c>
      <c r="L191" s="26">
        <f>IF(ISBLANK(Titanic_raw!J191),$C$427,Titanic_raw!J191)</f>
        <v>13</v>
      </c>
      <c r="M191">
        <f>Titanic_raw!K191</f>
        <v>0</v>
      </c>
      <c r="N191" t="str">
        <f>IF(Titanic_raw!L191="S","Southampton",IF(Titanic_raw!L191="Q","Queenstown",IF(Titanic_raw!L191="C","Cherbourg")))</f>
        <v>Southampton</v>
      </c>
    </row>
    <row r="192" spans="1:14" x14ac:dyDescent="0.2">
      <c r="A192" s="18">
        <f>Titanic_raw!A192</f>
        <v>1082</v>
      </c>
      <c r="B192" s="17">
        <f>Titanic_raw!B192</f>
        <v>0</v>
      </c>
      <c r="C192" s="17" t="str">
        <f t="shared" si="2"/>
        <v>Dead</v>
      </c>
      <c r="D192" s="17" t="str">
        <f>CONCATENATE(Titanic_raw!C192, " Class")</f>
        <v>2 Class</v>
      </c>
      <c r="E192" s="19" t="str">
        <f>INDEX(tbl_passenger[Full Name],MATCH(A192,tbl_passenger[PassengerId],0))</f>
        <v>Mr. William A Angle</v>
      </c>
      <c r="F192" t="str">
        <f>INDEX(tbl_passenger[Sex],MATCH(A192,tbl_passenger[PassengerId],0))</f>
        <v>Male</v>
      </c>
      <c r="G192" t="str">
        <f>IF(tbl_figures[Age]&lt;20, "Teens (0-19)", IF(tbl_figures[Age] &lt;40, "Youth (20-39)", IF(tbl_figures[Age]&lt;60, "Adult (40-59)", IF(tbl_figures[Age]&gt;=60, "Elders (60-Above)"))))</f>
        <v>Youth (20-39)</v>
      </c>
      <c r="H192" s="25">
        <f>IF(ISBLANK(Titanic_raw!F192),$C$423,Titanic_raw!F192)</f>
        <v>34</v>
      </c>
      <c r="I192">
        <f>Titanic_raw!G192</f>
        <v>1</v>
      </c>
      <c r="J192">
        <f>Titanic_raw!H192</f>
        <v>0</v>
      </c>
      <c r="K192">
        <f>Titanic_raw!I192</f>
        <v>226875</v>
      </c>
      <c r="L192" s="26">
        <f>IF(ISBLANK(Titanic_raw!J192),$C$427,Titanic_raw!J192)</f>
        <v>26</v>
      </c>
      <c r="M192">
        <f>Titanic_raw!K192</f>
        <v>0</v>
      </c>
      <c r="N192" t="str">
        <f>IF(Titanic_raw!L192="S","Southampton",IF(Titanic_raw!L192="Q","Queenstown",IF(Titanic_raw!L192="C","Cherbourg")))</f>
        <v>Southampton</v>
      </c>
    </row>
    <row r="193" spans="1:14" x14ac:dyDescent="0.2">
      <c r="A193" s="18">
        <f>Titanic_raw!A193</f>
        <v>1083</v>
      </c>
      <c r="B193" s="21">
        <f>Titanic_raw!B193</f>
        <v>0</v>
      </c>
      <c r="C193" s="21" t="str">
        <f t="shared" si="2"/>
        <v>Dead</v>
      </c>
      <c r="D193" s="21" t="str">
        <f>CONCATENATE(Titanic_raw!C193, " Class")</f>
        <v>1 Class</v>
      </c>
      <c r="E193" s="23" t="str">
        <f>INDEX(tbl_passenger[Full Name],MATCH(A193,tbl_passenger[PassengerId],0))</f>
        <v>Mr. Abraham L Salomon</v>
      </c>
      <c r="F193" t="str">
        <f>INDEX(tbl_passenger[Sex],MATCH(A193,tbl_passenger[PassengerId],0))</f>
        <v>Male</v>
      </c>
      <c r="G193" t="str">
        <f>IF(tbl_figures[Age]&lt;20, "Teens (0-19)", IF(tbl_figures[Age] &lt;40, "Youth (20-39)", IF(tbl_figures[Age]&lt;60, "Adult (40-59)", IF(tbl_figures[Age]&gt;=60, "Elders (60-Above)"))))</f>
        <v>Youth (20-39)</v>
      </c>
      <c r="H193" s="25">
        <f>IF(ISBLANK(Titanic_raw!F193),$C$423,Titanic_raw!F193)</f>
        <v>30.272590325616491</v>
      </c>
      <c r="I193">
        <f>Titanic_raw!G193</f>
        <v>0</v>
      </c>
      <c r="J193">
        <f>Titanic_raw!H193</f>
        <v>0</v>
      </c>
      <c r="K193">
        <f>Titanic_raw!I193</f>
        <v>111163</v>
      </c>
      <c r="L193" s="26">
        <f>IF(ISBLANK(Titanic_raw!J193),$C$427,Titanic_raw!J193)</f>
        <v>26</v>
      </c>
      <c r="M193">
        <f>Titanic_raw!K193</f>
        <v>0</v>
      </c>
      <c r="N193" t="str">
        <f>IF(Titanic_raw!L193="S","Southampton",IF(Titanic_raw!L193="Q","Queenstown",IF(Titanic_raw!L193="C","Cherbourg")))</f>
        <v>Southampton</v>
      </c>
    </row>
    <row r="194" spans="1:14" x14ac:dyDescent="0.2">
      <c r="A194" s="18">
        <f>Titanic_raw!A194</f>
        <v>1084</v>
      </c>
      <c r="B194" s="17">
        <f>Titanic_raw!B194</f>
        <v>0</v>
      </c>
      <c r="C194" s="17" t="str">
        <f t="shared" ref="C194:C257" si="3">IF(B194=0,"Dead","Survived")</f>
        <v>Dead</v>
      </c>
      <c r="D194" s="17" t="str">
        <f>CONCATENATE(Titanic_raw!C194, " Class")</f>
        <v>3 Class</v>
      </c>
      <c r="E194" s="19" t="str">
        <f>INDEX(tbl_passenger[Full Name],MATCH(A194,tbl_passenger[PassengerId],0))</f>
        <v>Master. Walter John van Billiard</v>
      </c>
      <c r="F194" t="str">
        <f>INDEX(tbl_passenger[Sex],MATCH(A194,tbl_passenger[PassengerId],0))</f>
        <v>Male</v>
      </c>
      <c r="G194" t="str">
        <f>IF(tbl_figures[Age]&lt;20, "Teens (0-19)", IF(tbl_figures[Age] &lt;40, "Youth (20-39)", IF(tbl_figures[Age]&lt;60, "Adult (40-59)", IF(tbl_figures[Age]&gt;=60, "Elders (60-Above)"))))</f>
        <v>Teens (0-19)</v>
      </c>
      <c r="H194" s="25">
        <f>IF(ISBLANK(Titanic_raw!F194),$C$423,Titanic_raw!F194)</f>
        <v>11.5</v>
      </c>
      <c r="I194">
        <f>Titanic_raw!G194</f>
        <v>1</v>
      </c>
      <c r="J194">
        <f>Titanic_raw!H194</f>
        <v>1</v>
      </c>
      <c r="K194" t="str">
        <f>Titanic_raw!I194</f>
        <v>A/5. 851</v>
      </c>
      <c r="L194" s="26">
        <f>IF(ISBLANK(Titanic_raw!J194),$C$427,Titanic_raw!J194)</f>
        <v>14.5</v>
      </c>
      <c r="M194">
        <f>Titanic_raw!K194</f>
        <v>0</v>
      </c>
      <c r="N194" t="str">
        <f>IF(Titanic_raw!L194="S","Southampton",IF(Titanic_raw!L194="Q","Queenstown",IF(Titanic_raw!L194="C","Cherbourg")))</f>
        <v>Southampton</v>
      </c>
    </row>
    <row r="195" spans="1:14" x14ac:dyDescent="0.2">
      <c r="A195" s="18">
        <f>Titanic_raw!A195</f>
        <v>1085</v>
      </c>
      <c r="B195" s="21">
        <f>Titanic_raw!B195</f>
        <v>0</v>
      </c>
      <c r="C195" s="21" t="str">
        <f t="shared" si="3"/>
        <v>Dead</v>
      </c>
      <c r="D195" s="21" t="str">
        <f>CONCATENATE(Titanic_raw!C195, " Class")</f>
        <v>2 Class</v>
      </c>
      <c r="E195" s="23" t="str">
        <f>INDEX(tbl_passenger[Full Name],MATCH(A195,tbl_passenger[PassengerId],0))</f>
        <v>Mr. John Lingane</v>
      </c>
      <c r="F195" t="str">
        <f>INDEX(tbl_passenger[Sex],MATCH(A195,tbl_passenger[PassengerId],0))</f>
        <v>Male</v>
      </c>
      <c r="G195" t="str">
        <f>IF(tbl_figures[Age]&lt;20, "Teens (0-19)", IF(tbl_figures[Age] &lt;40, "Youth (20-39)", IF(tbl_figures[Age]&lt;60, "Adult (40-59)", IF(tbl_figures[Age]&gt;=60, "Elders (60-Above)"))))</f>
        <v>Elders (60-Above)</v>
      </c>
      <c r="H195" s="25">
        <f>IF(ISBLANK(Titanic_raw!F195),$C$423,Titanic_raw!F195)</f>
        <v>61</v>
      </c>
      <c r="I195">
        <f>Titanic_raw!G195</f>
        <v>0</v>
      </c>
      <c r="J195">
        <f>Titanic_raw!H195</f>
        <v>0</v>
      </c>
      <c r="K195">
        <f>Titanic_raw!I195</f>
        <v>235509</v>
      </c>
      <c r="L195" s="26">
        <f>IF(ISBLANK(Titanic_raw!J195),$C$427,Titanic_raw!J195)</f>
        <v>12.35</v>
      </c>
      <c r="M195">
        <f>Titanic_raw!K195</f>
        <v>0</v>
      </c>
      <c r="N195" t="str">
        <f>IF(Titanic_raw!L195="S","Southampton",IF(Titanic_raw!L195="Q","Queenstown",IF(Titanic_raw!L195="C","Cherbourg")))</f>
        <v>Queenstown</v>
      </c>
    </row>
    <row r="196" spans="1:14" x14ac:dyDescent="0.2">
      <c r="A196" s="18">
        <f>Titanic_raw!A196</f>
        <v>1086</v>
      </c>
      <c r="B196" s="17">
        <f>Titanic_raw!B196</f>
        <v>0</v>
      </c>
      <c r="C196" s="17" t="str">
        <f t="shared" si="3"/>
        <v>Dead</v>
      </c>
      <c r="D196" s="17" t="str">
        <f>CONCATENATE(Titanic_raw!C196, " Class")</f>
        <v>2 Class</v>
      </c>
      <c r="E196" s="19" t="str">
        <f>INDEX(tbl_passenger[Full Name],MATCH(A196,tbl_passenger[PassengerId],0))</f>
        <v>Master. Marshall Brines Drew</v>
      </c>
      <c r="F196" t="str">
        <f>INDEX(tbl_passenger[Sex],MATCH(A196,tbl_passenger[PassengerId],0))</f>
        <v>Male</v>
      </c>
      <c r="G196" t="str">
        <f>IF(tbl_figures[Age]&lt;20, "Teens (0-19)", IF(tbl_figures[Age] &lt;40, "Youth (20-39)", IF(tbl_figures[Age]&lt;60, "Adult (40-59)", IF(tbl_figures[Age]&gt;=60, "Elders (60-Above)"))))</f>
        <v>Teens (0-19)</v>
      </c>
      <c r="H196" s="25">
        <f>IF(ISBLANK(Titanic_raw!F196),$C$423,Titanic_raw!F196)</f>
        <v>8</v>
      </c>
      <c r="I196">
        <f>Titanic_raw!G196</f>
        <v>0</v>
      </c>
      <c r="J196">
        <f>Titanic_raw!H196</f>
        <v>2</v>
      </c>
      <c r="K196">
        <f>Titanic_raw!I196</f>
        <v>28220</v>
      </c>
      <c r="L196" s="26">
        <f>IF(ISBLANK(Titanic_raw!J196),$C$427,Titanic_raw!J196)</f>
        <v>32.5</v>
      </c>
      <c r="M196">
        <f>Titanic_raw!K196</f>
        <v>0</v>
      </c>
      <c r="N196" t="str">
        <f>IF(Titanic_raw!L196="S","Southampton",IF(Titanic_raw!L196="Q","Queenstown",IF(Titanic_raw!L196="C","Cherbourg")))</f>
        <v>Southampton</v>
      </c>
    </row>
    <row r="197" spans="1:14" x14ac:dyDescent="0.2">
      <c r="A197" s="18">
        <f>Titanic_raw!A197</f>
        <v>1087</v>
      </c>
      <c r="B197" s="21">
        <f>Titanic_raw!B197</f>
        <v>0</v>
      </c>
      <c r="C197" s="21" t="str">
        <f t="shared" si="3"/>
        <v>Dead</v>
      </c>
      <c r="D197" s="21" t="str">
        <f>CONCATENATE(Titanic_raw!C197, " Class")</f>
        <v>3 Class</v>
      </c>
      <c r="E197" s="23" t="str">
        <f>INDEX(tbl_passenger[Full Name],MATCH(A197,tbl_passenger[PassengerId],0))</f>
        <v>Mr. Julius Konrad Eugen Karlsson</v>
      </c>
      <c r="F197" t="str">
        <f>INDEX(tbl_passenger[Sex],MATCH(A197,tbl_passenger[PassengerId],0))</f>
        <v>Male</v>
      </c>
      <c r="G197" t="str">
        <f>IF(tbl_figures[Age]&lt;20, "Teens (0-19)", IF(tbl_figures[Age] &lt;40, "Youth (20-39)", IF(tbl_figures[Age]&lt;60, "Adult (40-59)", IF(tbl_figures[Age]&gt;=60, "Elders (60-Above)"))))</f>
        <v>Youth (20-39)</v>
      </c>
      <c r="H197" s="25">
        <f>IF(ISBLANK(Titanic_raw!F197),$C$423,Titanic_raw!F197)</f>
        <v>33</v>
      </c>
      <c r="I197">
        <f>Titanic_raw!G197</f>
        <v>0</v>
      </c>
      <c r="J197">
        <f>Titanic_raw!H197</f>
        <v>0</v>
      </c>
      <c r="K197">
        <f>Titanic_raw!I197</f>
        <v>347465</v>
      </c>
      <c r="L197" s="26">
        <f>IF(ISBLANK(Titanic_raw!J197),$C$427,Titanic_raw!J197)</f>
        <v>7.8541999999999996</v>
      </c>
      <c r="M197">
        <f>Titanic_raw!K197</f>
        <v>0</v>
      </c>
      <c r="N197" t="str">
        <f>IF(Titanic_raw!L197="S","Southampton",IF(Titanic_raw!L197="Q","Queenstown",IF(Titanic_raw!L197="C","Cherbourg")))</f>
        <v>Southampton</v>
      </c>
    </row>
    <row r="198" spans="1:14" x14ac:dyDescent="0.2">
      <c r="A198" s="18">
        <f>Titanic_raw!A198</f>
        <v>1088</v>
      </c>
      <c r="B198" s="17">
        <f>Titanic_raw!B198</f>
        <v>0</v>
      </c>
      <c r="C198" s="17" t="str">
        <f t="shared" si="3"/>
        <v>Dead</v>
      </c>
      <c r="D198" s="17" t="str">
        <f>CONCATENATE(Titanic_raw!C198, " Class")</f>
        <v>1 Class</v>
      </c>
      <c r="E198" s="19" t="str">
        <f>INDEX(tbl_passenger[Full Name],MATCH(A198,tbl_passenger[PassengerId],0))</f>
        <v>Master. Robert Douglas Spedden</v>
      </c>
      <c r="F198" t="str">
        <f>INDEX(tbl_passenger[Sex],MATCH(A198,tbl_passenger[PassengerId],0))</f>
        <v>Male</v>
      </c>
      <c r="G198" t="str">
        <f>IF(tbl_figures[Age]&lt;20, "Teens (0-19)", IF(tbl_figures[Age] &lt;40, "Youth (20-39)", IF(tbl_figures[Age]&lt;60, "Adult (40-59)", IF(tbl_figures[Age]&gt;=60, "Elders (60-Above)"))))</f>
        <v>Teens (0-19)</v>
      </c>
      <c r="H198" s="25">
        <f>IF(ISBLANK(Titanic_raw!F198),$C$423,Titanic_raw!F198)</f>
        <v>6</v>
      </c>
      <c r="I198">
        <f>Titanic_raw!G198</f>
        <v>0</v>
      </c>
      <c r="J198">
        <f>Titanic_raw!H198</f>
        <v>2</v>
      </c>
      <c r="K198">
        <f>Titanic_raw!I198</f>
        <v>16966</v>
      </c>
      <c r="L198" s="26">
        <f>IF(ISBLANK(Titanic_raw!J198),$C$427,Titanic_raw!J198)</f>
        <v>134.5</v>
      </c>
      <c r="M198" t="str">
        <f>Titanic_raw!K198</f>
        <v>E34</v>
      </c>
      <c r="N198" t="str">
        <f>IF(Titanic_raw!L198="S","Southampton",IF(Titanic_raw!L198="Q","Queenstown",IF(Titanic_raw!L198="C","Cherbourg")))</f>
        <v>Cherbourg</v>
      </c>
    </row>
    <row r="199" spans="1:14" x14ac:dyDescent="0.2">
      <c r="A199" s="18">
        <f>Titanic_raw!A199</f>
        <v>1089</v>
      </c>
      <c r="B199" s="21">
        <f>Titanic_raw!B199</f>
        <v>1</v>
      </c>
      <c r="C199" s="21" t="str">
        <f t="shared" si="3"/>
        <v>Survived</v>
      </c>
      <c r="D199" s="21" t="str">
        <f>CONCATENATE(Titanic_raw!C199, " Class")</f>
        <v>3 Class</v>
      </c>
      <c r="E199" s="23" t="str">
        <f>INDEX(tbl_passenger[Full Name],MATCH(A199,tbl_passenger[PassengerId],0))</f>
        <v>Miss. Berta Olivia Nilsson</v>
      </c>
      <c r="F199" t="str">
        <f>INDEX(tbl_passenger[Sex],MATCH(A199,tbl_passenger[PassengerId],0))</f>
        <v>Female</v>
      </c>
      <c r="G199" t="str">
        <f>IF(tbl_figures[Age]&lt;20, "Teens (0-19)", IF(tbl_figures[Age] &lt;40, "Youth (20-39)", IF(tbl_figures[Age]&lt;60, "Adult (40-59)", IF(tbl_figures[Age]&gt;=60, "Elders (60-Above)"))))</f>
        <v>Teens (0-19)</v>
      </c>
      <c r="H199" s="25">
        <f>IF(ISBLANK(Titanic_raw!F199),$C$423,Titanic_raw!F199)</f>
        <v>18</v>
      </c>
      <c r="I199">
        <f>Titanic_raw!G199</f>
        <v>0</v>
      </c>
      <c r="J199">
        <f>Titanic_raw!H199</f>
        <v>0</v>
      </c>
      <c r="K199">
        <f>Titanic_raw!I199</f>
        <v>347066</v>
      </c>
      <c r="L199" s="26">
        <f>IF(ISBLANK(Titanic_raw!J199),$C$427,Titanic_raw!J199)</f>
        <v>7.7750000000000004</v>
      </c>
      <c r="M199">
        <f>Titanic_raw!K199</f>
        <v>0</v>
      </c>
      <c r="N199" t="str">
        <f>IF(Titanic_raw!L199="S","Southampton",IF(Titanic_raw!L199="Q","Queenstown",IF(Titanic_raw!L199="C","Cherbourg")))</f>
        <v>Southampton</v>
      </c>
    </row>
    <row r="200" spans="1:14" x14ac:dyDescent="0.2">
      <c r="A200" s="18">
        <f>Titanic_raw!A200</f>
        <v>1090</v>
      </c>
      <c r="B200" s="17">
        <f>Titanic_raw!B200</f>
        <v>0</v>
      </c>
      <c r="C200" s="17" t="str">
        <f t="shared" si="3"/>
        <v>Dead</v>
      </c>
      <c r="D200" s="17" t="str">
        <f>CONCATENATE(Titanic_raw!C200, " Class")</f>
        <v>2 Class</v>
      </c>
      <c r="E200" s="19" t="str">
        <f>INDEX(tbl_passenger[Full Name],MATCH(A200,tbl_passenger[PassengerId],0))</f>
        <v>Mr. Charles Robert Baimbrigge</v>
      </c>
      <c r="F200" t="str">
        <f>INDEX(tbl_passenger[Sex],MATCH(A200,tbl_passenger[PassengerId],0))</f>
        <v>Male</v>
      </c>
      <c r="G200" t="str">
        <f>IF(tbl_figures[Age]&lt;20, "Teens (0-19)", IF(tbl_figures[Age] &lt;40, "Youth (20-39)", IF(tbl_figures[Age]&lt;60, "Adult (40-59)", IF(tbl_figures[Age]&gt;=60, "Elders (60-Above)"))))</f>
        <v>Youth (20-39)</v>
      </c>
      <c r="H200" s="25">
        <f>IF(ISBLANK(Titanic_raw!F200),$C$423,Titanic_raw!F200)</f>
        <v>23</v>
      </c>
      <c r="I200">
        <f>Titanic_raw!G200</f>
        <v>0</v>
      </c>
      <c r="J200">
        <f>Titanic_raw!H200</f>
        <v>0</v>
      </c>
      <c r="K200" t="str">
        <f>Titanic_raw!I200</f>
        <v>C.A. 31030</v>
      </c>
      <c r="L200" s="26">
        <f>IF(ISBLANK(Titanic_raw!J200),$C$427,Titanic_raw!J200)</f>
        <v>10.5</v>
      </c>
      <c r="M200">
        <f>Titanic_raw!K200</f>
        <v>0</v>
      </c>
      <c r="N200" t="str">
        <f>IF(Titanic_raw!L200="S","Southampton",IF(Titanic_raw!L200="Q","Queenstown",IF(Titanic_raw!L200="C","Cherbourg")))</f>
        <v>Southampton</v>
      </c>
    </row>
    <row r="201" spans="1:14" x14ac:dyDescent="0.2">
      <c r="A201" s="18">
        <f>Titanic_raw!A201</f>
        <v>1091</v>
      </c>
      <c r="B201" s="21">
        <f>Titanic_raw!B201</f>
        <v>1</v>
      </c>
      <c r="C201" s="21" t="str">
        <f t="shared" si="3"/>
        <v>Survived</v>
      </c>
      <c r="D201" s="21" t="str">
        <f>CONCATENATE(Titanic_raw!C201, " Class")</f>
        <v>3 Class</v>
      </c>
      <c r="E201" s="23" t="str">
        <f>INDEX(tbl_passenger[Full Name],MATCH(A201,tbl_passenger[PassengerId],0))</f>
        <v>Mrs. (Lena Jacobsen Solvang) Rasmussen</v>
      </c>
      <c r="F201" t="str">
        <f>INDEX(tbl_passenger[Sex],MATCH(A201,tbl_passenger[PassengerId],0))</f>
        <v>Female</v>
      </c>
      <c r="G201" t="str">
        <f>IF(tbl_figures[Age]&lt;20, "Teens (0-19)", IF(tbl_figures[Age] &lt;40, "Youth (20-39)", IF(tbl_figures[Age]&lt;60, "Adult (40-59)", IF(tbl_figures[Age]&gt;=60, "Elders (60-Above)"))))</f>
        <v>Youth (20-39)</v>
      </c>
      <c r="H201" s="25">
        <f>IF(ISBLANK(Titanic_raw!F201),$C$423,Titanic_raw!F201)</f>
        <v>30.272590325616491</v>
      </c>
      <c r="I201">
        <f>Titanic_raw!G201</f>
        <v>0</v>
      </c>
      <c r="J201">
        <f>Titanic_raw!H201</f>
        <v>0</v>
      </c>
      <c r="K201">
        <f>Titanic_raw!I201</f>
        <v>65305</v>
      </c>
      <c r="L201" s="26">
        <f>IF(ISBLANK(Titanic_raw!J201),$C$427,Titanic_raw!J201)</f>
        <v>8.1125000000000007</v>
      </c>
      <c r="M201">
        <f>Titanic_raw!K201</f>
        <v>0</v>
      </c>
      <c r="N201" t="str">
        <f>IF(Titanic_raw!L201="S","Southampton",IF(Titanic_raw!L201="Q","Queenstown",IF(Titanic_raw!L201="C","Cherbourg")))</f>
        <v>Southampton</v>
      </c>
    </row>
    <row r="202" spans="1:14" x14ac:dyDescent="0.2">
      <c r="A202" s="18">
        <f>Titanic_raw!A202</f>
        <v>1092</v>
      </c>
      <c r="B202" s="17">
        <f>Titanic_raw!B202</f>
        <v>1</v>
      </c>
      <c r="C202" s="17" t="str">
        <f t="shared" si="3"/>
        <v>Survived</v>
      </c>
      <c r="D202" s="17" t="str">
        <f>CONCATENATE(Titanic_raw!C202, " Class")</f>
        <v>3 Class</v>
      </c>
      <c r="E202" s="19" t="str">
        <f>INDEX(tbl_passenger[Full Name],MATCH(A202,tbl_passenger[PassengerId],0))</f>
        <v>Miss. Nora Murphy</v>
      </c>
      <c r="F202" t="str">
        <f>INDEX(tbl_passenger[Sex],MATCH(A202,tbl_passenger[PassengerId],0))</f>
        <v>Female</v>
      </c>
      <c r="G202" t="str">
        <f>IF(tbl_figures[Age]&lt;20, "Teens (0-19)", IF(tbl_figures[Age] &lt;40, "Youth (20-39)", IF(tbl_figures[Age]&lt;60, "Adult (40-59)", IF(tbl_figures[Age]&gt;=60, "Elders (60-Above)"))))</f>
        <v>Youth (20-39)</v>
      </c>
      <c r="H202" s="25">
        <f>IF(ISBLANK(Titanic_raw!F202),$C$423,Titanic_raw!F202)</f>
        <v>30.272590325616491</v>
      </c>
      <c r="I202">
        <f>Titanic_raw!G202</f>
        <v>0</v>
      </c>
      <c r="J202">
        <f>Titanic_raw!H202</f>
        <v>0</v>
      </c>
      <c r="K202">
        <f>Titanic_raw!I202</f>
        <v>36568</v>
      </c>
      <c r="L202" s="26">
        <f>IF(ISBLANK(Titanic_raw!J202),$C$427,Titanic_raw!J202)</f>
        <v>15.5</v>
      </c>
      <c r="M202">
        <f>Titanic_raw!K202</f>
        <v>0</v>
      </c>
      <c r="N202" t="str">
        <f>IF(Titanic_raw!L202="S","Southampton",IF(Titanic_raw!L202="Q","Queenstown",IF(Titanic_raw!L202="C","Cherbourg")))</f>
        <v>Queenstown</v>
      </c>
    </row>
    <row r="203" spans="1:14" x14ac:dyDescent="0.2">
      <c r="A203" s="18">
        <f>Titanic_raw!A203</f>
        <v>1093</v>
      </c>
      <c r="B203" s="21">
        <f>Titanic_raw!B203</f>
        <v>0</v>
      </c>
      <c r="C203" s="21" t="str">
        <f t="shared" si="3"/>
        <v>Dead</v>
      </c>
      <c r="D203" s="21" t="str">
        <f>CONCATENATE(Titanic_raw!C203, " Class")</f>
        <v>3 Class</v>
      </c>
      <c r="E203" s="23" t="str">
        <f>INDEX(tbl_passenger[Full Name],MATCH(A203,tbl_passenger[PassengerId],0))</f>
        <v>Master. Gilbert Sigvard Emanuel Danbom</v>
      </c>
      <c r="F203" t="str">
        <f>INDEX(tbl_passenger[Sex],MATCH(A203,tbl_passenger[PassengerId],0))</f>
        <v>Male</v>
      </c>
      <c r="G203" t="str">
        <f>IF(tbl_figures[Age]&lt;20, "Teens (0-19)", IF(tbl_figures[Age] &lt;40, "Youth (20-39)", IF(tbl_figures[Age]&lt;60, "Adult (40-59)", IF(tbl_figures[Age]&gt;=60, "Elders (60-Above)"))))</f>
        <v>Teens (0-19)</v>
      </c>
      <c r="H203" s="25">
        <f>IF(ISBLANK(Titanic_raw!F203),$C$423,Titanic_raw!F203)</f>
        <v>0.33</v>
      </c>
      <c r="I203">
        <f>Titanic_raw!G203</f>
        <v>0</v>
      </c>
      <c r="J203">
        <f>Titanic_raw!H203</f>
        <v>2</v>
      </c>
      <c r="K203">
        <f>Titanic_raw!I203</f>
        <v>347080</v>
      </c>
      <c r="L203" s="26">
        <f>IF(ISBLANK(Titanic_raw!J203),$C$427,Titanic_raw!J203)</f>
        <v>14.4</v>
      </c>
      <c r="M203">
        <f>Titanic_raw!K203</f>
        <v>0</v>
      </c>
      <c r="N203" t="str">
        <f>IF(Titanic_raw!L203="S","Southampton",IF(Titanic_raw!L203="Q","Queenstown",IF(Titanic_raw!L203="C","Cherbourg")))</f>
        <v>Southampton</v>
      </c>
    </row>
    <row r="204" spans="1:14" x14ac:dyDescent="0.2">
      <c r="A204" s="18">
        <f>Titanic_raw!A204</f>
        <v>1094</v>
      </c>
      <c r="B204" s="17">
        <f>Titanic_raw!B204</f>
        <v>0</v>
      </c>
      <c r="C204" s="17" t="str">
        <f t="shared" si="3"/>
        <v>Dead</v>
      </c>
      <c r="D204" s="17" t="str">
        <f>CONCATENATE(Titanic_raw!C204, " Class")</f>
        <v>1 Class</v>
      </c>
      <c r="E204" s="19" t="str">
        <f>INDEX(tbl_passenger[Full Name],MATCH(A204,tbl_passenger[PassengerId],0))</f>
        <v>Col. John Jacob Astor</v>
      </c>
      <c r="F204" t="str">
        <f>INDEX(tbl_passenger[Sex],MATCH(A204,tbl_passenger[PassengerId],0))</f>
        <v>Male</v>
      </c>
      <c r="G204" t="str">
        <f>IF(tbl_figures[Age]&lt;20, "Teens (0-19)", IF(tbl_figures[Age] &lt;40, "Youth (20-39)", IF(tbl_figures[Age]&lt;60, "Adult (40-59)", IF(tbl_figures[Age]&gt;=60, "Elders (60-Above)"))))</f>
        <v>Adult (40-59)</v>
      </c>
      <c r="H204" s="25">
        <f>IF(ISBLANK(Titanic_raw!F204),$C$423,Titanic_raw!F204)</f>
        <v>47</v>
      </c>
      <c r="I204">
        <f>Titanic_raw!G204</f>
        <v>1</v>
      </c>
      <c r="J204">
        <f>Titanic_raw!H204</f>
        <v>0</v>
      </c>
      <c r="K204" t="str">
        <f>Titanic_raw!I204</f>
        <v>PC 17757</v>
      </c>
      <c r="L204" s="26">
        <f>IF(ISBLANK(Titanic_raw!J204),$C$427,Titanic_raw!J204)</f>
        <v>227.52500000000001</v>
      </c>
      <c r="M204" t="str">
        <f>Titanic_raw!K204</f>
        <v>C62 C64</v>
      </c>
      <c r="N204" t="str">
        <f>IF(Titanic_raw!L204="S","Southampton",IF(Titanic_raw!L204="Q","Queenstown",IF(Titanic_raw!L204="C","Cherbourg")))</f>
        <v>Cherbourg</v>
      </c>
    </row>
    <row r="205" spans="1:14" x14ac:dyDescent="0.2">
      <c r="A205" s="18">
        <f>Titanic_raw!A205</f>
        <v>1095</v>
      </c>
      <c r="B205" s="21">
        <f>Titanic_raw!B205</f>
        <v>1</v>
      </c>
      <c r="C205" s="21" t="str">
        <f t="shared" si="3"/>
        <v>Survived</v>
      </c>
      <c r="D205" s="21" t="str">
        <f>CONCATENATE(Titanic_raw!C205, " Class")</f>
        <v>2 Class</v>
      </c>
      <c r="E205" s="23" t="str">
        <f>INDEX(tbl_passenger[Full Name],MATCH(A205,tbl_passenger[PassengerId],0))</f>
        <v>Miss. Winifred Vera Quick</v>
      </c>
      <c r="F205" t="str">
        <f>INDEX(tbl_passenger[Sex],MATCH(A205,tbl_passenger[PassengerId],0))</f>
        <v>Female</v>
      </c>
      <c r="G205" t="str">
        <f>IF(tbl_figures[Age]&lt;20, "Teens (0-19)", IF(tbl_figures[Age] &lt;40, "Youth (20-39)", IF(tbl_figures[Age]&lt;60, "Adult (40-59)", IF(tbl_figures[Age]&gt;=60, "Elders (60-Above)"))))</f>
        <v>Teens (0-19)</v>
      </c>
      <c r="H205" s="25">
        <f>IF(ISBLANK(Titanic_raw!F205),$C$423,Titanic_raw!F205)</f>
        <v>8</v>
      </c>
      <c r="I205">
        <f>Titanic_raw!G205</f>
        <v>1</v>
      </c>
      <c r="J205">
        <f>Titanic_raw!H205</f>
        <v>1</v>
      </c>
      <c r="K205">
        <f>Titanic_raw!I205</f>
        <v>26360</v>
      </c>
      <c r="L205" s="26">
        <f>IF(ISBLANK(Titanic_raw!J205),$C$427,Titanic_raw!J205)</f>
        <v>26</v>
      </c>
      <c r="M205">
        <f>Titanic_raw!K205</f>
        <v>0</v>
      </c>
      <c r="N205" t="str">
        <f>IF(Titanic_raw!L205="S","Southampton",IF(Titanic_raw!L205="Q","Queenstown",IF(Titanic_raw!L205="C","Cherbourg")))</f>
        <v>Southampton</v>
      </c>
    </row>
    <row r="206" spans="1:14" x14ac:dyDescent="0.2">
      <c r="A206" s="18">
        <f>Titanic_raw!A206</f>
        <v>1096</v>
      </c>
      <c r="B206" s="17">
        <f>Titanic_raw!B206</f>
        <v>0</v>
      </c>
      <c r="C206" s="17" t="str">
        <f t="shared" si="3"/>
        <v>Dead</v>
      </c>
      <c r="D206" s="17" t="str">
        <f>CONCATENATE(Titanic_raw!C206, " Class")</f>
        <v>2 Class</v>
      </c>
      <c r="E206" s="19" t="str">
        <f>INDEX(tbl_passenger[Full Name],MATCH(A206,tbl_passenger[PassengerId],0))</f>
        <v>Mr. Frank Thomas Andrew</v>
      </c>
      <c r="F206" t="str">
        <f>INDEX(tbl_passenger[Sex],MATCH(A206,tbl_passenger[PassengerId],0))</f>
        <v>Male</v>
      </c>
      <c r="G206" t="str">
        <f>IF(tbl_figures[Age]&lt;20, "Teens (0-19)", IF(tbl_figures[Age] &lt;40, "Youth (20-39)", IF(tbl_figures[Age]&lt;60, "Adult (40-59)", IF(tbl_figures[Age]&gt;=60, "Elders (60-Above)"))))</f>
        <v>Youth (20-39)</v>
      </c>
      <c r="H206" s="25">
        <f>IF(ISBLANK(Titanic_raw!F206),$C$423,Titanic_raw!F206)</f>
        <v>25</v>
      </c>
      <c r="I206">
        <f>Titanic_raw!G206</f>
        <v>0</v>
      </c>
      <c r="J206">
        <f>Titanic_raw!H206</f>
        <v>0</v>
      </c>
      <c r="K206" t="str">
        <f>Titanic_raw!I206</f>
        <v>C.A. 34050</v>
      </c>
      <c r="L206" s="26">
        <f>IF(ISBLANK(Titanic_raw!J206),$C$427,Titanic_raw!J206)</f>
        <v>10.5</v>
      </c>
      <c r="M206">
        <f>Titanic_raw!K206</f>
        <v>0</v>
      </c>
      <c r="N206" t="str">
        <f>IF(Titanic_raw!L206="S","Southampton",IF(Titanic_raw!L206="Q","Queenstown",IF(Titanic_raw!L206="C","Cherbourg")))</f>
        <v>Southampton</v>
      </c>
    </row>
    <row r="207" spans="1:14" x14ac:dyDescent="0.2">
      <c r="A207" s="18">
        <f>Titanic_raw!A207</f>
        <v>1097</v>
      </c>
      <c r="B207" s="21">
        <f>Titanic_raw!B207</f>
        <v>0</v>
      </c>
      <c r="C207" s="21" t="str">
        <f t="shared" si="3"/>
        <v>Dead</v>
      </c>
      <c r="D207" s="21" t="str">
        <f>CONCATENATE(Titanic_raw!C207, " Class")</f>
        <v>1 Class</v>
      </c>
      <c r="E207" s="23" t="str">
        <f>INDEX(tbl_passenger[Full Name],MATCH(A207,tbl_passenger[PassengerId],0))</f>
        <v>Mr. Alfred Fernand Omont</v>
      </c>
      <c r="F207" t="str">
        <f>INDEX(tbl_passenger[Sex],MATCH(A207,tbl_passenger[PassengerId],0))</f>
        <v>Male</v>
      </c>
      <c r="G207" t="str">
        <f>IF(tbl_figures[Age]&lt;20, "Teens (0-19)", IF(tbl_figures[Age] &lt;40, "Youth (20-39)", IF(tbl_figures[Age]&lt;60, "Adult (40-59)", IF(tbl_figures[Age]&gt;=60, "Elders (60-Above)"))))</f>
        <v>Youth (20-39)</v>
      </c>
      <c r="H207" s="25">
        <f>IF(ISBLANK(Titanic_raw!F207),$C$423,Titanic_raw!F207)</f>
        <v>30.272590325616491</v>
      </c>
      <c r="I207">
        <f>Titanic_raw!G207</f>
        <v>0</v>
      </c>
      <c r="J207">
        <f>Titanic_raw!H207</f>
        <v>0</v>
      </c>
      <c r="K207" t="str">
        <f>Titanic_raw!I207</f>
        <v>F.C. 12998</v>
      </c>
      <c r="L207" s="26">
        <f>IF(ISBLANK(Titanic_raw!J207),$C$427,Titanic_raw!J207)</f>
        <v>25.741700000000002</v>
      </c>
      <c r="M207">
        <f>Titanic_raw!K207</f>
        <v>0</v>
      </c>
      <c r="N207" t="str">
        <f>IF(Titanic_raw!L207="S","Southampton",IF(Titanic_raw!L207="Q","Queenstown",IF(Titanic_raw!L207="C","Cherbourg")))</f>
        <v>Cherbourg</v>
      </c>
    </row>
    <row r="208" spans="1:14" x14ac:dyDescent="0.2">
      <c r="A208" s="18">
        <f>Titanic_raw!A208</f>
        <v>1098</v>
      </c>
      <c r="B208" s="17">
        <f>Titanic_raw!B208</f>
        <v>1</v>
      </c>
      <c r="C208" s="17" t="str">
        <f t="shared" si="3"/>
        <v>Survived</v>
      </c>
      <c r="D208" s="17" t="str">
        <f>CONCATENATE(Titanic_raw!C208, " Class")</f>
        <v>3 Class</v>
      </c>
      <c r="E208" s="19" t="str">
        <f>INDEX(tbl_passenger[Full Name],MATCH(A208,tbl_passenger[PassengerId],0))</f>
        <v>Miss. Katherine McGowan</v>
      </c>
      <c r="F208" t="str">
        <f>INDEX(tbl_passenger[Sex],MATCH(A208,tbl_passenger[PassengerId],0))</f>
        <v>Female</v>
      </c>
      <c r="G208" t="str">
        <f>IF(tbl_figures[Age]&lt;20, "Teens (0-19)", IF(tbl_figures[Age] &lt;40, "Youth (20-39)", IF(tbl_figures[Age]&lt;60, "Adult (40-59)", IF(tbl_figures[Age]&gt;=60, "Elders (60-Above)"))))</f>
        <v>Youth (20-39)</v>
      </c>
      <c r="H208" s="25">
        <f>IF(ISBLANK(Titanic_raw!F208),$C$423,Titanic_raw!F208)</f>
        <v>35</v>
      </c>
      <c r="I208">
        <f>Titanic_raw!G208</f>
        <v>0</v>
      </c>
      <c r="J208">
        <f>Titanic_raw!H208</f>
        <v>0</v>
      </c>
      <c r="K208">
        <f>Titanic_raw!I208</f>
        <v>9232</v>
      </c>
      <c r="L208" s="26">
        <f>IF(ISBLANK(Titanic_raw!J208),$C$427,Titanic_raw!J208)</f>
        <v>7.75</v>
      </c>
      <c r="M208">
        <f>Titanic_raw!K208</f>
        <v>0</v>
      </c>
      <c r="N208" t="str">
        <f>IF(Titanic_raw!L208="S","Southampton",IF(Titanic_raw!L208="Q","Queenstown",IF(Titanic_raw!L208="C","Cherbourg")))</f>
        <v>Queenstown</v>
      </c>
    </row>
    <row r="209" spans="1:14" x14ac:dyDescent="0.2">
      <c r="A209" s="18">
        <f>Titanic_raw!A209</f>
        <v>1099</v>
      </c>
      <c r="B209" s="21">
        <f>Titanic_raw!B209</f>
        <v>0</v>
      </c>
      <c r="C209" s="21" t="str">
        <f t="shared" si="3"/>
        <v>Dead</v>
      </c>
      <c r="D209" s="21" t="str">
        <f>CONCATENATE(Titanic_raw!C209, " Class")</f>
        <v>2 Class</v>
      </c>
      <c r="E209" s="23" t="str">
        <f>INDEX(tbl_passenger[Full Name],MATCH(A209,tbl_passenger[PassengerId],0))</f>
        <v>Mr. Sidney C Stuart Collett</v>
      </c>
      <c r="F209" t="str">
        <f>INDEX(tbl_passenger[Sex],MATCH(A209,tbl_passenger[PassengerId],0))</f>
        <v>Male</v>
      </c>
      <c r="G209" t="str">
        <f>IF(tbl_figures[Age]&lt;20, "Teens (0-19)", IF(tbl_figures[Age] &lt;40, "Youth (20-39)", IF(tbl_figures[Age]&lt;60, "Adult (40-59)", IF(tbl_figures[Age]&gt;=60, "Elders (60-Above)"))))</f>
        <v>Youth (20-39)</v>
      </c>
      <c r="H209" s="25">
        <f>IF(ISBLANK(Titanic_raw!F209),$C$423,Titanic_raw!F209)</f>
        <v>24</v>
      </c>
      <c r="I209">
        <f>Titanic_raw!G209</f>
        <v>0</v>
      </c>
      <c r="J209">
        <f>Titanic_raw!H209</f>
        <v>0</v>
      </c>
      <c r="K209">
        <f>Titanic_raw!I209</f>
        <v>28034</v>
      </c>
      <c r="L209" s="26">
        <f>IF(ISBLANK(Titanic_raw!J209),$C$427,Titanic_raw!J209)</f>
        <v>10.5</v>
      </c>
      <c r="M209">
        <f>Titanic_raw!K209</f>
        <v>0</v>
      </c>
      <c r="N209" t="str">
        <f>IF(Titanic_raw!L209="S","Southampton",IF(Titanic_raw!L209="Q","Queenstown",IF(Titanic_raw!L209="C","Cherbourg")))</f>
        <v>Southampton</v>
      </c>
    </row>
    <row r="210" spans="1:14" x14ac:dyDescent="0.2">
      <c r="A210" s="18">
        <f>Titanic_raw!A210</f>
        <v>1100</v>
      </c>
      <c r="B210" s="17">
        <f>Titanic_raw!B210</f>
        <v>1</v>
      </c>
      <c r="C210" s="17" t="str">
        <f t="shared" si="3"/>
        <v>Survived</v>
      </c>
      <c r="D210" s="17" t="str">
        <f>CONCATENATE(Titanic_raw!C210, " Class")</f>
        <v>1 Class</v>
      </c>
      <c r="E210" s="19" t="str">
        <f>INDEX(tbl_passenger[Full Name],MATCH(A210,tbl_passenger[PassengerId],0))</f>
        <v>Miss. Edith Louise Rosenbaum</v>
      </c>
      <c r="F210" t="str">
        <f>INDEX(tbl_passenger[Sex],MATCH(A210,tbl_passenger[PassengerId],0))</f>
        <v>Female</v>
      </c>
      <c r="G210" t="str">
        <f>IF(tbl_figures[Age]&lt;20, "Teens (0-19)", IF(tbl_figures[Age] &lt;40, "Youth (20-39)", IF(tbl_figures[Age]&lt;60, "Adult (40-59)", IF(tbl_figures[Age]&gt;=60, "Elders (60-Above)"))))</f>
        <v>Youth (20-39)</v>
      </c>
      <c r="H210" s="25">
        <f>IF(ISBLANK(Titanic_raw!F210),$C$423,Titanic_raw!F210)</f>
        <v>33</v>
      </c>
      <c r="I210">
        <f>Titanic_raw!G210</f>
        <v>0</v>
      </c>
      <c r="J210">
        <f>Titanic_raw!H210</f>
        <v>0</v>
      </c>
      <c r="K210" t="str">
        <f>Titanic_raw!I210</f>
        <v>PC 17613</v>
      </c>
      <c r="L210" s="26">
        <f>IF(ISBLANK(Titanic_raw!J210),$C$427,Titanic_raw!J210)</f>
        <v>27.720800000000001</v>
      </c>
      <c r="M210" t="str">
        <f>Titanic_raw!K210</f>
        <v>A11</v>
      </c>
      <c r="N210" t="str">
        <f>IF(Titanic_raw!L210="S","Southampton",IF(Titanic_raw!L210="Q","Queenstown",IF(Titanic_raw!L210="C","Cherbourg")))</f>
        <v>Cherbourg</v>
      </c>
    </row>
    <row r="211" spans="1:14" x14ac:dyDescent="0.2">
      <c r="A211" s="18">
        <f>Titanic_raw!A211</f>
        <v>1101</v>
      </c>
      <c r="B211" s="21">
        <f>Titanic_raw!B211</f>
        <v>0</v>
      </c>
      <c r="C211" s="21" t="str">
        <f t="shared" si="3"/>
        <v>Dead</v>
      </c>
      <c r="D211" s="21" t="str">
        <f>CONCATENATE(Titanic_raw!C211, " Class")</f>
        <v>3 Class</v>
      </c>
      <c r="E211" s="23" t="str">
        <f>INDEX(tbl_passenger[Full Name],MATCH(A211,tbl_passenger[PassengerId],0))</f>
        <v>Mr. Redjo Delalic</v>
      </c>
      <c r="F211" t="str">
        <f>INDEX(tbl_passenger[Sex],MATCH(A211,tbl_passenger[PassengerId],0))</f>
        <v>Male</v>
      </c>
      <c r="G211" t="str">
        <f>IF(tbl_figures[Age]&lt;20, "Teens (0-19)", IF(tbl_figures[Age] &lt;40, "Youth (20-39)", IF(tbl_figures[Age]&lt;60, "Adult (40-59)", IF(tbl_figures[Age]&gt;=60, "Elders (60-Above)"))))</f>
        <v>Youth (20-39)</v>
      </c>
      <c r="H211" s="25">
        <f>IF(ISBLANK(Titanic_raw!F211),$C$423,Titanic_raw!F211)</f>
        <v>25</v>
      </c>
      <c r="I211">
        <f>Titanic_raw!G211</f>
        <v>0</v>
      </c>
      <c r="J211">
        <f>Titanic_raw!H211</f>
        <v>0</v>
      </c>
      <c r="K211">
        <f>Titanic_raw!I211</f>
        <v>349250</v>
      </c>
      <c r="L211" s="26">
        <f>IF(ISBLANK(Titanic_raw!J211),$C$427,Titanic_raw!J211)</f>
        <v>7.8958000000000004</v>
      </c>
      <c r="M211">
        <f>Titanic_raw!K211</f>
        <v>0</v>
      </c>
      <c r="N211" t="str">
        <f>IF(Titanic_raw!L211="S","Southampton",IF(Titanic_raw!L211="Q","Queenstown",IF(Titanic_raw!L211="C","Cherbourg")))</f>
        <v>Southampton</v>
      </c>
    </row>
    <row r="212" spans="1:14" x14ac:dyDescent="0.2">
      <c r="A212" s="18">
        <f>Titanic_raw!A212</f>
        <v>1102</v>
      </c>
      <c r="B212" s="17">
        <f>Titanic_raw!B212</f>
        <v>0</v>
      </c>
      <c r="C212" s="17" t="str">
        <f t="shared" si="3"/>
        <v>Dead</v>
      </c>
      <c r="D212" s="17" t="str">
        <f>CONCATENATE(Titanic_raw!C212, " Class")</f>
        <v>3 Class</v>
      </c>
      <c r="E212" s="19" t="str">
        <f>INDEX(tbl_passenger[Full Name],MATCH(A212,tbl_passenger[PassengerId],0))</f>
        <v>Mr. Albert Karvin Andersen</v>
      </c>
      <c r="F212" t="str">
        <f>INDEX(tbl_passenger[Sex],MATCH(A212,tbl_passenger[PassengerId],0))</f>
        <v>Male</v>
      </c>
      <c r="G212" t="str">
        <f>IF(tbl_figures[Age]&lt;20, "Teens (0-19)", IF(tbl_figures[Age] &lt;40, "Youth (20-39)", IF(tbl_figures[Age]&lt;60, "Adult (40-59)", IF(tbl_figures[Age]&gt;=60, "Elders (60-Above)"))))</f>
        <v>Youth (20-39)</v>
      </c>
      <c r="H212" s="25">
        <f>IF(ISBLANK(Titanic_raw!F212),$C$423,Titanic_raw!F212)</f>
        <v>32</v>
      </c>
      <c r="I212">
        <f>Titanic_raw!G212</f>
        <v>0</v>
      </c>
      <c r="J212">
        <f>Titanic_raw!H212</f>
        <v>0</v>
      </c>
      <c r="K212" t="str">
        <f>Titanic_raw!I212</f>
        <v>C 4001</v>
      </c>
      <c r="L212" s="26">
        <f>IF(ISBLANK(Titanic_raw!J212),$C$427,Titanic_raw!J212)</f>
        <v>22.524999999999999</v>
      </c>
      <c r="M212">
        <f>Titanic_raw!K212</f>
        <v>0</v>
      </c>
      <c r="N212" t="str">
        <f>IF(Titanic_raw!L212="S","Southampton",IF(Titanic_raw!L212="Q","Queenstown",IF(Titanic_raw!L212="C","Cherbourg")))</f>
        <v>Southampton</v>
      </c>
    </row>
    <row r="213" spans="1:14" x14ac:dyDescent="0.2">
      <c r="A213" s="18">
        <f>Titanic_raw!A213</f>
        <v>1103</v>
      </c>
      <c r="B213" s="21">
        <f>Titanic_raw!B213</f>
        <v>0</v>
      </c>
      <c r="C213" s="21" t="str">
        <f t="shared" si="3"/>
        <v>Dead</v>
      </c>
      <c r="D213" s="21" t="str">
        <f>CONCATENATE(Titanic_raw!C213, " Class")</f>
        <v>3 Class</v>
      </c>
      <c r="E213" s="23" t="str">
        <f>INDEX(tbl_passenger[Full Name],MATCH(A213,tbl_passenger[PassengerId],0))</f>
        <v>Mr. Luigi Finoli</v>
      </c>
      <c r="F213" t="str">
        <f>INDEX(tbl_passenger[Sex],MATCH(A213,tbl_passenger[PassengerId],0))</f>
        <v>Male</v>
      </c>
      <c r="G213" t="str">
        <f>IF(tbl_figures[Age]&lt;20, "Teens (0-19)", IF(tbl_figures[Age] &lt;40, "Youth (20-39)", IF(tbl_figures[Age]&lt;60, "Adult (40-59)", IF(tbl_figures[Age]&gt;=60, "Elders (60-Above)"))))</f>
        <v>Youth (20-39)</v>
      </c>
      <c r="H213" s="25">
        <f>IF(ISBLANK(Titanic_raw!F213),$C$423,Titanic_raw!F213)</f>
        <v>30.272590325616491</v>
      </c>
      <c r="I213">
        <f>Titanic_raw!G213</f>
        <v>0</v>
      </c>
      <c r="J213">
        <f>Titanic_raw!H213</f>
        <v>0</v>
      </c>
      <c r="K213" t="str">
        <f>Titanic_raw!I213</f>
        <v>SOTON/O.Q. 3101308</v>
      </c>
      <c r="L213" s="26">
        <f>IF(ISBLANK(Titanic_raw!J213),$C$427,Titanic_raw!J213)</f>
        <v>7.05</v>
      </c>
      <c r="M213">
        <f>Titanic_raw!K213</f>
        <v>0</v>
      </c>
      <c r="N213" t="str">
        <f>IF(Titanic_raw!L213="S","Southampton",IF(Titanic_raw!L213="Q","Queenstown",IF(Titanic_raw!L213="C","Cherbourg")))</f>
        <v>Southampton</v>
      </c>
    </row>
    <row r="214" spans="1:14" x14ac:dyDescent="0.2">
      <c r="A214" s="18">
        <f>Titanic_raw!A214</f>
        <v>1104</v>
      </c>
      <c r="B214" s="17">
        <f>Titanic_raw!B214</f>
        <v>0</v>
      </c>
      <c r="C214" s="17" t="str">
        <f t="shared" si="3"/>
        <v>Dead</v>
      </c>
      <c r="D214" s="17" t="str">
        <f>CONCATENATE(Titanic_raw!C214, " Class")</f>
        <v>2 Class</v>
      </c>
      <c r="E214" s="19" t="str">
        <f>INDEX(tbl_passenger[Full Name],MATCH(A214,tbl_passenger[PassengerId],0))</f>
        <v>Mr. Percy William Deacon</v>
      </c>
      <c r="F214" t="str">
        <f>INDEX(tbl_passenger[Sex],MATCH(A214,tbl_passenger[PassengerId],0))</f>
        <v>Male</v>
      </c>
      <c r="G214" t="str">
        <f>IF(tbl_figures[Age]&lt;20, "Teens (0-19)", IF(tbl_figures[Age] &lt;40, "Youth (20-39)", IF(tbl_figures[Age]&lt;60, "Adult (40-59)", IF(tbl_figures[Age]&gt;=60, "Elders (60-Above)"))))</f>
        <v>Teens (0-19)</v>
      </c>
      <c r="H214" s="25">
        <f>IF(ISBLANK(Titanic_raw!F214),$C$423,Titanic_raw!F214)</f>
        <v>17</v>
      </c>
      <c r="I214">
        <f>Titanic_raw!G214</f>
        <v>0</v>
      </c>
      <c r="J214">
        <f>Titanic_raw!H214</f>
        <v>0</v>
      </c>
      <c r="K214" t="str">
        <f>Titanic_raw!I214</f>
        <v>S.O.C. 14879</v>
      </c>
      <c r="L214" s="26">
        <f>IF(ISBLANK(Titanic_raw!J214),$C$427,Titanic_raw!J214)</f>
        <v>73.5</v>
      </c>
      <c r="M214">
        <f>Titanic_raw!K214</f>
        <v>0</v>
      </c>
      <c r="N214" t="str">
        <f>IF(Titanic_raw!L214="S","Southampton",IF(Titanic_raw!L214="Q","Queenstown",IF(Titanic_raw!L214="C","Cherbourg")))</f>
        <v>Southampton</v>
      </c>
    </row>
    <row r="215" spans="1:14" x14ac:dyDescent="0.2">
      <c r="A215" s="18">
        <f>Titanic_raw!A215</f>
        <v>1105</v>
      </c>
      <c r="B215" s="21">
        <f>Titanic_raw!B215</f>
        <v>1</v>
      </c>
      <c r="C215" s="21" t="str">
        <f t="shared" si="3"/>
        <v>Survived</v>
      </c>
      <c r="D215" s="21" t="str">
        <f>CONCATENATE(Titanic_raw!C215, " Class")</f>
        <v>2 Class</v>
      </c>
      <c r="E215" s="23" t="str">
        <f>INDEX(tbl_passenger[Full Name],MATCH(A215,tbl_passenger[PassengerId],0))</f>
        <v>Mrs. Benjamin (Ellen Truelove Arman) Howard</v>
      </c>
      <c r="F215" t="str">
        <f>INDEX(tbl_passenger[Sex],MATCH(A215,tbl_passenger[PassengerId],0))</f>
        <v>Female</v>
      </c>
      <c r="G215" t="str">
        <f>IF(tbl_figures[Age]&lt;20, "Teens (0-19)", IF(tbl_figures[Age] &lt;40, "Youth (20-39)", IF(tbl_figures[Age]&lt;60, "Adult (40-59)", IF(tbl_figures[Age]&gt;=60, "Elders (60-Above)"))))</f>
        <v>Elders (60-Above)</v>
      </c>
      <c r="H215" s="25">
        <f>IF(ISBLANK(Titanic_raw!F215),$C$423,Titanic_raw!F215)</f>
        <v>60</v>
      </c>
      <c r="I215">
        <f>Titanic_raw!G215</f>
        <v>1</v>
      </c>
      <c r="J215">
        <f>Titanic_raw!H215</f>
        <v>0</v>
      </c>
      <c r="K215">
        <f>Titanic_raw!I215</f>
        <v>24065</v>
      </c>
      <c r="L215" s="26">
        <f>IF(ISBLANK(Titanic_raw!J215),$C$427,Titanic_raw!J215)</f>
        <v>26</v>
      </c>
      <c r="M215">
        <f>Titanic_raw!K215</f>
        <v>0</v>
      </c>
      <c r="N215" t="str">
        <f>IF(Titanic_raw!L215="S","Southampton",IF(Titanic_raw!L215="Q","Queenstown",IF(Titanic_raw!L215="C","Cherbourg")))</f>
        <v>Southampton</v>
      </c>
    </row>
    <row r="216" spans="1:14" x14ac:dyDescent="0.2">
      <c r="A216" s="18">
        <f>Titanic_raw!A216</f>
        <v>1106</v>
      </c>
      <c r="B216" s="17">
        <f>Titanic_raw!B216</f>
        <v>1</v>
      </c>
      <c r="C216" s="17" t="str">
        <f t="shared" si="3"/>
        <v>Survived</v>
      </c>
      <c r="D216" s="17" t="str">
        <f>CONCATENATE(Titanic_raw!C216, " Class")</f>
        <v>3 Class</v>
      </c>
      <c r="E216" s="19" t="str">
        <f>INDEX(tbl_passenger[Full Name],MATCH(A216,tbl_passenger[PassengerId],0))</f>
        <v>Miss. Ida Augusta Margareta Andersson</v>
      </c>
      <c r="F216" t="str">
        <f>INDEX(tbl_passenger[Sex],MATCH(A216,tbl_passenger[PassengerId],0))</f>
        <v>Female</v>
      </c>
      <c r="G216" t="str">
        <f>IF(tbl_figures[Age]&lt;20, "Teens (0-19)", IF(tbl_figures[Age] &lt;40, "Youth (20-39)", IF(tbl_figures[Age]&lt;60, "Adult (40-59)", IF(tbl_figures[Age]&gt;=60, "Elders (60-Above)"))))</f>
        <v>Youth (20-39)</v>
      </c>
      <c r="H216" s="25">
        <f>IF(ISBLANK(Titanic_raw!F216),$C$423,Titanic_raw!F216)</f>
        <v>38</v>
      </c>
      <c r="I216">
        <f>Titanic_raw!G216</f>
        <v>4</v>
      </c>
      <c r="J216">
        <f>Titanic_raw!H216</f>
        <v>2</v>
      </c>
      <c r="K216">
        <f>Titanic_raw!I216</f>
        <v>347091</v>
      </c>
      <c r="L216" s="26">
        <f>IF(ISBLANK(Titanic_raw!J216),$C$427,Titanic_raw!J216)</f>
        <v>7.7750000000000004</v>
      </c>
      <c r="M216">
        <f>Titanic_raw!K216</f>
        <v>0</v>
      </c>
      <c r="N216" t="str">
        <f>IF(Titanic_raw!L216="S","Southampton",IF(Titanic_raw!L216="Q","Queenstown",IF(Titanic_raw!L216="C","Cherbourg")))</f>
        <v>Southampton</v>
      </c>
    </row>
    <row r="217" spans="1:14" x14ac:dyDescent="0.2">
      <c r="A217" s="18">
        <f>Titanic_raw!A217</f>
        <v>1107</v>
      </c>
      <c r="B217" s="21">
        <f>Titanic_raw!B217</f>
        <v>0</v>
      </c>
      <c r="C217" s="21" t="str">
        <f t="shared" si="3"/>
        <v>Dead</v>
      </c>
      <c r="D217" s="21" t="str">
        <f>CONCATENATE(Titanic_raw!C217, " Class")</f>
        <v>1 Class</v>
      </c>
      <c r="E217" s="23" t="str">
        <f>INDEX(tbl_passenger[Full Name],MATCH(A217,tbl_passenger[PassengerId],0))</f>
        <v>Mr. Christopher Head</v>
      </c>
      <c r="F217" t="str">
        <f>INDEX(tbl_passenger[Sex],MATCH(A217,tbl_passenger[PassengerId],0))</f>
        <v>Male</v>
      </c>
      <c r="G217" t="str">
        <f>IF(tbl_figures[Age]&lt;20, "Teens (0-19)", IF(tbl_figures[Age] &lt;40, "Youth (20-39)", IF(tbl_figures[Age]&lt;60, "Adult (40-59)", IF(tbl_figures[Age]&gt;=60, "Elders (60-Above)"))))</f>
        <v>Adult (40-59)</v>
      </c>
      <c r="H217" s="25">
        <f>IF(ISBLANK(Titanic_raw!F217),$C$423,Titanic_raw!F217)</f>
        <v>42</v>
      </c>
      <c r="I217">
        <f>Titanic_raw!G217</f>
        <v>0</v>
      </c>
      <c r="J217">
        <f>Titanic_raw!H217</f>
        <v>0</v>
      </c>
      <c r="K217">
        <f>Titanic_raw!I217</f>
        <v>113038</v>
      </c>
      <c r="L217" s="26">
        <f>IF(ISBLANK(Titanic_raw!J217),$C$427,Titanic_raw!J217)</f>
        <v>42.5</v>
      </c>
      <c r="M217" t="str">
        <f>Titanic_raw!K217</f>
        <v>B11</v>
      </c>
      <c r="N217" t="str">
        <f>IF(Titanic_raw!L217="S","Southampton",IF(Titanic_raw!L217="Q","Queenstown",IF(Titanic_raw!L217="C","Cherbourg")))</f>
        <v>Southampton</v>
      </c>
    </row>
    <row r="218" spans="1:14" x14ac:dyDescent="0.2">
      <c r="A218" s="18">
        <f>Titanic_raw!A218</f>
        <v>1108</v>
      </c>
      <c r="B218" s="17">
        <f>Titanic_raw!B218</f>
        <v>1</v>
      </c>
      <c r="C218" s="17" t="str">
        <f t="shared" si="3"/>
        <v>Survived</v>
      </c>
      <c r="D218" s="17" t="str">
        <f>CONCATENATE(Titanic_raw!C218, " Class")</f>
        <v>3 Class</v>
      </c>
      <c r="E218" s="19" t="str">
        <f>INDEX(tbl_passenger[Full Name],MATCH(A218,tbl_passenger[PassengerId],0))</f>
        <v>Miss. Bridget Delia Mahon</v>
      </c>
      <c r="F218" t="str">
        <f>INDEX(tbl_passenger[Sex],MATCH(A218,tbl_passenger[PassengerId],0))</f>
        <v>Female</v>
      </c>
      <c r="G218" t="str">
        <f>IF(tbl_figures[Age]&lt;20, "Teens (0-19)", IF(tbl_figures[Age] &lt;40, "Youth (20-39)", IF(tbl_figures[Age]&lt;60, "Adult (40-59)", IF(tbl_figures[Age]&gt;=60, "Elders (60-Above)"))))</f>
        <v>Youth (20-39)</v>
      </c>
      <c r="H218" s="25">
        <f>IF(ISBLANK(Titanic_raw!F218),$C$423,Titanic_raw!F218)</f>
        <v>30.272590325616491</v>
      </c>
      <c r="I218">
        <f>Titanic_raw!G218</f>
        <v>0</v>
      </c>
      <c r="J218">
        <f>Titanic_raw!H218</f>
        <v>0</v>
      </c>
      <c r="K218">
        <f>Titanic_raw!I218</f>
        <v>330924</v>
      </c>
      <c r="L218" s="26">
        <f>IF(ISBLANK(Titanic_raw!J218),$C$427,Titanic_raw!J218)</f>
        <v>7.8792</v>
      </c>
      <c r="M218">
        <f>Titanic_raw!K218</f>
        <v>0</v>
      </c>
      <c r="N218" t="str">
        <f>IF(Titanic_raw!L218="S","Southampton",IF(Titanic_raw!L218="Q","Queenstown",IF(Titanic_raw!L218="C","Cherbourg")))</f>
        <v>Queenstown</v>
      </c>
    </row>
    <row r="219" spans="1:14" x14ac:dyDescent="0.2">
      <c r="A219" s="18">
        <f>Titanic_raw!A219</f>
        <v>1109</v>
      </c>
      <c r="B219" s="21">
        <f>Titanic_raw!B219</f>
        <v>0</v>
      </c>
      <c r="C219" s="21" t="str">
        <f t="shared" si="3"/>
        <v>Dead</v>
      </c>
      <c r="D219" s="21" t="str">
        <f>CONCATENATE(Titanic_raw!C219, " Class")</f>
        <v>1 Class</v>
      </c>
      <c r="E219" s="23" t="str">
        <f>INDEX(tbl_passenger[Full Name],MATCH(A219,tbl_passenger[PassengerId],0))</f>
        <v>Mr. George Dennick Wick</v>
      </c>
      <c r="F219" t="str">
        <f>INDEX(tbl_passenger[Sex],MATCH(A219,tbl_passenger[PassengerId],0))</f>
        <v>Male</v>
      </c>
      <c r="G219" t="str">
        <f>IF(tbl_figures[Age]&lt;20, "Teens (0-19)", IF(tbl_figures[Age] &lt;40, "Youth (20-39)", IF(tbl_figures[Age]&lt;60, "Adult (40-59)", IF(tbl_figures[Age]&gt;=60, "Elders (60-Above)"))))</f>
        <v>Adult (40-59)</v>
      </c>
      <c r="H219" s="25">
        <f>IF(ISBLANK(Titanic_raw!F219),$C$423,Titanic_raw!F219)</f>
        <v>57</v>
      </c>
      <c r="I219">
        <f>Titanic_raw!G219</f>
        <v>1</v>
      </c>
      <c r="J219">
        <f>Titanic_raw!H219</f>
        <v>1</v>
      </c>
      <c r="K219">
        <f>Titanic_raw!I219</f>
        <v>36928</v>
      </c>
      <c r="L219" s="26">
        <f>IF(ISBLANK(Titanic_raw!J219),$C$427,Titanic_raw!J219)</f>
        <v>164.86670000000001</v>
      </c>
      <c r="M219">
        <f>Titanic_raw!K219</f>
        <v>0</v>
      </c>
      <c r="N219" t="str">
        <f>IF(Titanic_raw!L219="S","Southampton",IF(Titanic_raw!L219="Q","Queenstown",IF(Titanic_raw!L219="C","Cherbourg")))</f>
        <v>Southampton</v>
      </c>
    </row>
    <row r="220" spans="1:14" x14ac:dyDescent="0.2">
      <c r="A220" s="18">
        <f>Titanic_raw!A220</f>
        <v>1110</v>
      </c>
      <c r="B220" s="17">
        <f>Titanic_raw!B220</f>
        <v>1</v>
      </c>
      <c r="C220" s="17" t="str">
        <f t="shared" si="3"/>
        <v>Survived</v>
      </c>
      <c r="D220" s="17" t="str">
        <f>CONCATENATE(Titanic_raw!C220, " Class")</f>
        <v>1 Class</v>
      </c>
      <c r="E220" s="19" t="str">
        <f>INDEX(tbl_passenger[Full Name],MATCH(A220,tbl_passenger[PassengerId],0))</f>
        <v>Mrs. George Dunton (Eleanor Elkins) Widener</v>
      </c>
      <c r="F220" t="str">
        <f>INDEX(tbl_passenger[Sex],MATCH(A220,tbl_passenger[PassengerId],0))</f>
        <v>Female</v>
      </c>
      <c r="G220" t="str">
        <f>IF(tbl_figures[Age]&lt;20, "Teens (0-19)", IF(tbl_figures[Age] &lt;40, "Youth (20-39)", IF(tbl_figures[Age]&lt;60, "Adult (40-59)", IF(tbl_figures[Age]&gt;=60, "Elders (60-Above)"))))</f>
        <v>Adult (40-59)</v>
      </c>
      <c r="H220" s="25">
        <f>IF(ISBLANK(Titanic_raw!F220),$C$423,Titanic_raw!F220)</f>
        <v>50</v>
      </c>
      <c r="I220">
        <f>Titanic_raw!G220</f>
        <v>1</v>
      </c>
      <c r="J220">
        <f>Titanic_raw!H220</f>
        <v>1</v>
      </c>
      <c r="K220">
        <f>Titanic_raw!I220</f>
        <v>113503</v>
      </c>
      <c r="L220" s="26">
        <f>IF(ISBLANK(Titanic_raw!J220),$C$427,Titanic_raw!J220)</f>
        <v>211.5</v>
      </c>
      <c r="M220" t="str">
        <f>Titanic_raw!K220</f>
        <v>C80</v>
      </c>
      <c r="N220" t="str">
        <f>IF(Titanic_raw!L220="S","Southampton",IF(Titanic_raw!L220="Q","Queenstown",IF(Titanic_raw!L220="C","Cherbourg")))</f>
        <v>Cherbourg</v>
      </c>
    </row>
    <row r="221" spans="1:14" x14ac:dyDescent="0.2">
      <c r="A221" s="18">
        <f>Titanic_raw!A221</f>
        <v>1111</v>
      </c>
      <c r="B221" s="21">
        <f>Titanic_raw!B221</f>
        <v>0</v>
      </c>
      <c r="C221" s="21" t="str">
        <f t="shared" si="3"/>
        <v>Dead</v>
      </c>
      <c r="D221" s="21" t="str">
        <f>CONCATENATE(Titanic_raw!C221, " Class")</f>
        <v>3 Class</v>
      </c>
      <c r="E221" s="23" t="str">
        <f>INDEX(tbl_passenger[Full Name],MATCH(A221,tbl_passenger[PassengerId],0))</f>
        <v>Mr. Alexander Morrison Thomson</v>
      </c>
      <c r="F221" t="str">
        <f>INDEX(tbl_passenger[Sex],MATCH(A221,tbl_passenger[PassengerId],0))</f>
        <v>Male</v>
      </c>
      <c r="G221" t="str">
        <f>IF(tbl_figures[Age]&lt;20, "Teens (0-19)", IF(tbl_figures[Age] &lt;40, "Youth (20-39)", IF(tbl_figures[Age]&lt;60, "Adult (40-59)", IF(tbl_figures[Age]&gt;=60, "Elders (60-Above)"))))</f>
        <v>Youth (20-39)</v>
      </c>
      <c r="H221" s="25">
        <f>IF(ISBLANK(Titanic_raw!F221),$C$423,Titanic_raw!F221)</f>
        <v>30.272590325616491</v>
      </c>
      <c r="I221">
        <f>Titanic_raw!G221</f>
        <v>0</v>
      </c>
      <c r="J221">
        <f>Titanic_raw!H221</f>
        <v>0</v>
      </c>
      <c r="K221">
        <f>Titanic_raw!I221</f>
        <v>32302</v>
      </c>
      <c r="L221" s="26">
        <f>IF(ISBLANK(Titanic_raw!J221),$C$427,Titanic_raw!J221)</f>
        <v>8.0500000000000007</v>
      </c>
      <c r="M221">
        <f>Titanic_raw!K221</f>
        <v>0</v>
      </c>
      <c r="N221" t="str">
        <f>IF(Titanic_raw!L221="S","Southampton",IF(Titanic_raw!L221="Q","Queenstown",IF(Titanic_raw!L221="C","Cherbourg")))</f>
        <v>Southampton</v>
      </c>
    </row>
    <row r="222" spans="1:14" x14ac:dyDescent="0.2">
      <c r="A222" s="18">
        <f>Titanic_raw!A222</f>
        <v>1112</v>
      </c>
      <c r="B222" s="17">
        <f>Titanic_raw!B222</f>
        <v>1</v>
      </c>
      <c r="C222" s="17" t="str">
        <f t="shared" si="3"/>
        <v>Survived</v>
      </c>
      <c r="D222" s="17" t="str">
        <f>CONCATENATE(Titanic_raw!C222, " Class")</f>
        <v>2 Class</v>
      </c>
      <c r="E222" s="19" t="str">
        <f>INDEX(tbl_passenger[Full Name],MATCH(A222,tbl_passenger[PassengerId],0))</f>
        <v>Miss. Florentina Duran y More</v>
      </c>
      <c r="F222" t="str">
        <f>INDEX(tbl_passenger[Sex],MATCH(A222,tbl_passenger[PassengerId],0))</f>
        <v>Female</v>
      </c>
      <c r="G222" t="str">
        <f>IF(tbl_figures[Age]&lt;20, "Teens (0-19)", IF(tbl_figures[Age] &lt;40, "Youth (20-39)", IF(tbl_figures[Age]&lt;60, "Adult (40-59)", IF(tbl_figures[Age]&gt;=60, "Elders (60-Above)"))))</f>
        <v>Youth (20-39)</v>
      </c>
      <c r="H222" s="25">
        <f>IF(ISBLANK(Titanic_raw!F222),$C$423,Titanic_raw!F222)</f>
        <v>30</v>
      </c>
      <c r="I222">
        <f>Titanic_raw!G222</f>
        <v>1</v>
      </c>
      <c r="J222">
        <f>Titanic_raw!H222</f>
        <v>0</v>
      </c>
      <c r="K222" t="str">
        <f>Titanic_raw!I222</f>
        <v>SC/PARIS 2148</v>
      </c>
      <c r="L222" s="26">
        <f>IF(ISBLANK(Titanic_raw!J222),$C$427,Titanic_raw!J222)</f>
        <v>13.8583</v>
      </c>
      <c r="M222">
        <f>Titanic_raw!K222</f>
        <v>0</v>
      </c>
      <c r="N222" t="str">
        <f>IF(Titanic_raw!L222="S","Southampton",IF(Titanic_raw!L222="Q","Queenstown",IF(Titanic_raw!L222="C","Cherbourg")))</f>
        <v>Cherbourg</v>
      </c>
    </row>
    <row r="223" spans="1:14" x14ac:dyDescent="0.2">
      <c r="A223" s="18">
        <f>Titanic_raw!A223</f>
        <v>1113</v>
      </c>
      <c r="B223" s="21">
        <f>Titanic_raw!B223</f>
        <v>0</v>
      </c>
      <c r="C223" s="21" t="str">
        <f t="shared" si="3"/>
        <v>Dead</v>
      </c>
      <c r="D223" s="21" t="str">
        <f>CONCATENATE(Titanic_raw!C223, " Class")</f>
        <v>3 Class</v>
      </c>
      <c r="E223" s="23" t="str">
        <f>INDEX(tbl_passenger[Full Name],MATCH(A223,tbl_passenger[PassengerId],0))</f>
        <v>Mr. Harold J Reynolds</v>
      </c>
      <c r="F223" t="str">
        <f>INDEX(tbl_passenger[Sex],MATCH(A223,tbl_passenger[PassengerId],0))</f>
        <v>Male</v>
      </c>
      <c r="G223" t="str">
        <f>IF(tbl_figures[Age]&lt;20, "Teens (0-19)", IF(tbl_figures[Age] &lt;40, "Youth (20-39)", IF(tbl_figures[Age]&lt;60, "Adult (40-59)", IF(tbl_figures[Age]&gt;=60, "Elders (60-Above)"))))</f>
        <v>Youth (20-39)</v>
      </c>
      <c r="H223" s="25">
        <f>IF(ISBLANK(Titanic_raw!F223),$C$423,Titanic_raw!F223)</f>
        <v>21</v>
      </c>
      <c r="I223">
        <f>Titanic_raw!G223</f>
        <v>0</v>
      </c>
      <c r="J223">
        <f>Titanic_raw!H223</f>
        <v>0</v>
      </c>
      <c r="K223">
        <f>Titanic_raw!I223</f>
        <v>342684</v>
      </c>
      <c r="L223" s="26">
        <f>IF(ISBLANK(Titanic_raw!J223),$C$427,Titanic_raw!J223)</f>
        <v>8.0500000000000007</v>
      </c>
      <c r="M223">
        <f>Titanic_raw!K223</f>
        <v>0</v>
      </c>
      <c r="N223" t="str">
        <f>IF(Titanic_raw!L223="S","Southampton",IF(Titanic_raw!L223="Q","Queenstown",IF(Titanic_raw!L223="C","Cherbourg")))</f>
        <v>Southampton</v>
      </c>
    </row>
    <row r="224" spans="1:14" x14ac:dyDescent="0.2">
      <c r="A224" s="18">
        <f>Titanic_raw!A224</f>
        <v>1114</v>
      </c>
      <c r="B224" s="17">
        <f>Titanic_raw!B224</f>
        <v>1</v>
      </c>
      <c r="C224" s="17" t="str">
        <f t="shared" si="3"/>
        <v>Survived</v>
      </c>
      <c r="D224" s="17" t="str">
        <f>CONCATENATE(Titanic_raw!C224, " Class")</f>
        <v>2 Class</v>
      </c>
      <c r="E224" s="19" t="str">
        <f>INDEX(tbl_passenger[Full Name],MATCH(A224,tbl_passenger[PassengerId],0))</f>
        <v>Mrs. (Selena Rogers) Cook</v>
      </c>
      <c r="F224" t="str">
        <f>INDEX(tbl_passenger[Sex],MATCH(A224,tbl_passenger[PassengerId],0))</f>
        <v>Female</v>
      </c>
      <c r="G224" t="str">
        <f>IF(tbl_figures[Age]&lt;20, "Teens (0-19)", IF(tbl_figures[Age] &lt;40, "Youth (20-39)", IF(tbl_figures[Age]&lt;60, "Adult (40-59)", IF(tbl_figures[Age]&gt;=60, "Elders (60-Above)"))))</f>
        <v>Youth (20-39)</v>
      </c>
      <c r="H224" s="25">
        <f>IF(ISBLANK(Titanic_raw!F224),$C$423,Titanic_raw!F224)</f>
        <v>22</v>
      </c>
      <c r="I224">
        <f>Titanic_raw!G224</f>
        <v>0</v>
      </c>
      <c r="J224">
        <f>Titanic_raw!H224</f>
        <v>0</v>
      </c>
      <c r="K224" t="str">
        <f>Titanic_raw!I224</f>
        <v>W./C. 14266</v>
      </c>
      <c r="L224" s="26">
        <f>IF(ISBLANK(Titanic_raw!J224),$C$427,Titanic_raw!J224)</f>
        <v>10.5</v>
      </c>
      <c r="M224" t="str">
        <f>Titanic_raw!K224</f>
        <v>F33</v>
      </c>
      <c r="N224" t="str">
        <f>IF(Titanic_raw!L224="S","Southampton",IF(Titanic_raw!L224="Q","Queenstown",IF(Titanic_raw!L224="C","Cherbourg")))</f>
        <v>Southampton</v>
      </c>
    </row>
    <row r="225" spans="1:14" x14ac:dyDescent="0.2">
      <c r="A225" s="18">
        <f>Titanic_raw!A225</f>
        <v>1115</v>
      </c>
      <c r="B225" s="21">
        <f>Titanic_raw!B225</f>
        <v>0</v>
      </c>
      <c r="C225" s="21" t="str">
        <f t="shared" si="3"/>
        <v>Dead</v>
      </c>
      <c r="D225" s="21" t="str">
        <f>CONCATENATE(Titanic_raw!C225, " Class")</f>
        <v>3 Class</v>
      </c>
      <c r="E225" s="23" t="str">
        <f>INDEX(tbl_passenger[Full Name],MATCH(A225,tbl_passenger[PassengerId],0))</f>
        <v>Mr. Einar Gervasius Karlsson</v>
      </c>
      <c r="F225" t="str">
        <f>INDEX(tbl_passenger[Sex],MATCH(A225,tbl_passenger[PassengerId],0))</f>
        <v>Male</v>
      </c>
      <c r="G225" t="str">
        <f>IF(tbl_figures[Age]&lt;20, "Teens (0-19)", IF(tbl_figures[Age] &lt;40, "Youth (20-39)", IF(tbl_figures[Age]&lt;60, "Adult (40-59)", IF(tbl_figures[Age]&gt;=60, "Elders (60-Above)"))))</f>
        <v>Youth (20-39)</v>
      </c>
      <c r="H225" s="25">
        <f>IF(ISBLANK(Titanic_raw!F225),$C$423,Titanic_raw!F225)</f>
        <v>21</v>
      </c>
      <c r="I225">
        <f>Titanic_raw!G225</f>
        <v>0</v>
      </c>
      <c r="J225">
        <f>Titanic_raw!H225</f>
        <v>0</v>
      </c>
      <c r="K225">
        <f>Titanic_raw!I225</f>
        <v>350053</v>
      </c>
      <c r="L225" s="26">
        <f>IF(ISBLANK(Titanic_raw!J225),$C$427,Titanic_raw!J225)</f>
        <v>7.7957999999999998</v>
      </c>
      <c r="M225">
        <f>Titanic_raw!K225</f>
        <v>0</v>
      </c>
      <c r="N225" t="str">
        <f>IF(Titanic_raw!L225="S","Southampton",IF(Titanic_raw!L225="Q","Queenstown",IF(Titanic_raw!L225="C","Cherbourg")))</f>
        <v>Southampton</v>
      </c>
    </row>
    <row r="226" spans="1:14" x14ac:dyDescent="0.2">
      <c r="A226" s="18">
        <f>Titanic_raw!A226</f>
        <v>1116</v>
      </c>
      <c r="B226" s="17">
        <f>Titanic_raw!B226</f>
        <v>1</v>
      </c>
      <c r="C226" s="17" t="str">
        <f t="shared" si="3"/>
        <v>Survived</v>
      </c>
      <c r="D226" s="17" t="str">
        <f>CONCATENATE(Titanic_raw!C226, " Class")</f>
        <v>1 Class</v>
      </c>
      <c r="E226" s="19" t="str">
        <f>INDEX(tbl_passenger[Full Name],MATCH(A226,tbl_passenger[PassengerId],0))</f>
        <v>Mrs. Edward (Helen Churchill Hungerford) Candee</v>
      </c>
      <c r="F226" t="str">
        <f>INDEX(tbl_passenger[Sex],MATCH(A226,tbl_passenger[PassengerId],0))</f>
        <v>Female</v>
      </c>
      <c r="G226" t="str">
        <f>IF(tbl_figures[Age]&lt;20, "Teens (0-19)", IF(tbl_figures[Age] &lt;40, "Youth (20-39)", IF(tbl_figures[Age]&lt;60, "Adult (40-59)", IF(tbl_figures[Age]&gt;=60, "Elders (60-Above)"))))</f>
        <v>Adult (40-59)</v>
      </c>
      <c r="H226" s="25">
        <f>IF(ISBLANK(Titanic_raw!F226),$C$423,Titanic_raw!F226)</f>
        <v>53</v>
      </c>
      <c r="I226">
        <f>Titanic_raw!G226</f>
        <v>0</v>
      </c>
      <c r="J226">
        <f>Titanic_raw!H226</f>
        <v>0</v>
      </c>
      <c r="K226" t="str">
        <f>Titanic_raw!I226</f>
        <v>PC 17606</v>
      </c>
      <c r="L226" s="26">
        <f>IF(ISBLANK(Titanic_raw!J226),$C$427,Titanic_raw!J226)</f>
        <v>27.445799999999998</v>
      </c>
      <c r="M226">
        <f>Titanic_raw!K226</f>
        <v>0</v>
      </c>
      <c r="N226" t="str">
        <f>IF(Titanic_raw!L226="S","Southampton",IF(Titanic_raw!L226="Q","Queenstown",IF(Titanic_raw!L226="C","Cherbourg")))</f>
        <v>Cherbourg</v>
      </c>
    </row>
    <row r="227" spans="1:14" x14ac:dyDescent="0.2">
      <c r="A227" s="18">
        <f>Titanic_raw!A227</f>
        <v>1117</v>
      </c>
      <c r="B227" s="21">
        <f>Titanic_raw!B227</f>
        <v>1</v>
      </c>
      <c r="C227" s="21" t="str">
        <f t="shared" si="3"/>
        <v>Survived</v>
      </c>
      <c r="D227" s="21" t="str">
        <f>CONCATENATE(Titanic_raw!C227, " Class")</f>
        <v>3 Class</v>
      </c>
      <c r="E227" s="23" t="str">
        <f>INDEX(tbl_passenger[Full Name],MATCH(A227,tbl_passenger[PassengerId],0))</f>
        <v>Mrs. George (Omine Amenia" Alexander)" Moubarek</v>
      </c>
      <c r="F227" t="str">
        <f>INDEX(tbl_passenger[Sex],MATCH(A227,tbl_passenger[PassengerId],0))</f>
        <v>Female</v>
      </c>
      <c r="G227" t="str">
        <f>IF(tbl_figures[Age]&lt;20, "Teens (0-19)", IF(tbl_figures[Age] &lt;40, "Youth (20-39)", IF(tbl_figures[Age]&lt;60, "Adult (40-59)", IF(tbl_figures[Age]&gt;=60, "Elders (60-Above)"))))</f>
        <v>Youth (20-39)</v>
      </c>
      <c r="H227" s="25">
        <f>IF(ISBLANK(Titanic_raw!F227),$C$423,Titanic_raw!F227)</f>
        <v>30.272590325616491</v>
      </c>
      <c r="I227">
        <f>Titanic_raw!G227</f>
        <v>0</v>
      </c>
      <c r="J227">
        <f>Titanic_raw!H227</f>
        <v>2</v>
      </c>
      <c r="K227">
        <f>Titanic_raw!I227</f>
        <v>2661</v>
      </c>
      <c r="L227" s="26">
        <f>IF(ISBLANK(Titanic_raw!J227),$C$427,Titanic_raw!J227)</f>
        <v>15.245799999999999</v>
      </c>
      <c r="M227">
        <f>Titanic_raw!K227</f>
        <v>0</v>
      </c>
      <c r="N227" t="str">
        <f>IF(Titanic_raw!L227="S","Southampton",IF(Titanic_raw!L227="Q","Queenstown",IF(Titanic_raw!L227="C","Cherbourg")))</f>
        <v>Cherbourg</v>
      </c>
    </row>
    <row r="228" spans="1:14" x14ac:dyDescent="0.2">
      <c r="A228" s="18">
        <f>Titanic_raw!A228</f>
        <v>1118</v>
      </c>
      <c r="B228" s="17">
        <f>Titanic_raw!B228</f>
        <v>0</v>
      </c>
      <c r="C228" s="17" t="str">
        <f t="shared" si="3"/>
        <v>Dead</v>
      </c>
      <c r="D228" s="17" t="str">
        <f>CONCATENATE(Titanic_raw!C228, " Class")</f>
        <v>3 Class</v>
      </c>
      <c r="E228" s="19" t="str">
        <f>INDEX(tbl_passenger[Full Name],MATCH(A228,tbl_passenger[PassengerId],0))</f>
        <v>Mr. Johan Charles Asplund</v>
      </c>
      <c r="F228" t="str">
        <f>INDEX(tbl_passenger[Sex],MATCH(A228,tbl_passenger[PassengerId],0))</f>
        <v>Male</v>
      </c>
      <c r="G228" t="str">
        <f>IF(tbl_figures[Age]&lt;20, "Teens (0-19)", IF(tbl_figures[Age] &lt;40, "Youth (20-39)", IF(tbl_figures[Age]&lt;60, "Adult (40-59)", IF(tbl_figures[Age]&gt;=60, "Elders (60-Above)"))))</f>
        <v>Youth (20-39)</v>
      </c>
      <c r="H228" s="25">
        <f>IF(ISBLANK(Titanic_raw!F228),$C$423,Titanic_raw!F228)</f>
        <v>23</v>
      </c>
      <c r="I228">
        <f>Titanic_raw!G228</f>
        <v>0</v>
      </c>
      <c r="J228">
        <f>Titanic_raw!H228</f>
        <v>0</v>
      </c>
      <c r="K228">
        <f>Titanic_raw!I228</f>
        <v>350054</v>
      </c>
      <c r="L228" s="26">
        <f>IF(ISBLANK(Titanic_raw!J228),$C$427,Titanic_raw!J228)</f>
        <v>7.7957999999999998</v>
      </c>
      <c r="M228">
        <f>Titanic_raw!K228</f>
        <v>0</v>
      </c>
      <c r="N228" t="str">
        <f>IF(Titanic_raw!L228="S","Southampton",IF(Titanic_raw!L228="Q","Queenstown",IF(Titanic_raw!L228="C","Cherbourg")))</f>
        <v>Southampton</v>
      </c>
    </row>
    <row r="229" spans="1:14" x14ac:dyDescent="0.2">
      <c r="A229" s="18">
        <f>Titanic_raw!A229</f>
        <v>1119</v>
      </c>
      <c r="B229" s="21">
        <f>Titanic_raw!B229</f>
        <v>1</v>
      </c>
      <c r="C229" s="21" t="str">
        <f t="shared" si="3"/>
        <v>Survived</v>
      </c>
      <c r="D229" s="21" t="str">
        <f>CONCATENATE(Titanic_raw!C229, " Class")</f>
        <v>3 Class</v>
      </c>
      <c r="E229" s="23" t="str">
        <f>INDEX(tbl_passenger[Full Name],MATCH(A229,tbl_passenger[PassengerId],0))</f>
        <v>Miss. Bridget McNeill</v>
      </c>
      <c r="F229" t="str">
        <f>INDEX(tbl_passenger[Sex],MATCH(A229,tbl_passenger[PassengerId],0))</f>
        <v>Female</v>
      </c>
      <c r="G229" t="str">
        <f>IF(tbl_figures[Age]&lt;20, "Teens (0-19)", IF(tbl_figures[Age] &lt;40, "Youth (20-39)", IF(tbl_figures[Age]&lt;60, "Adult (40-59)", IF(tbl_figures[Age]&gt;=60, "Elders (60-Above)"))))</f>
        <v>Youth (20-39)</v>
      </c>
      <c r="H229" s="25">
        <f>IF(ISBLANK(Titanic_raw!F229),$C$423,Titanic_raw!F229)</f>
        <v>30.272590325616491</v>
      </c>
      <c r="I229">
        <f>Titanic_raw!G229</f>
        <v>0</v>
      </c>
      <c r="J229">
        <f>Titanic_raw!H229</f>
        <v>0</v>
      </c>
      <c r="K229">
        <f>Titanic_raw!I229</f>
        <v>370368</v>
      </c>
      <c r="L229" s="26">
        <f>IF(ISBLANK(Titanic_raw!J229),$C$427,Titanic_raw!J229)</f>
        <v>7.75</v>
      </c>
      <c r="M229">
        <f>Titanic_raw!K229</f>
        <v>0</v>
      </c>
      <c r="N229" t="str">
        <f>IF(Titanic_raw!L229="S","Southampton",IF(Titanic_raw!L229="Q","Queenstown",IF(Titanic_raw!L229="C","Cherbourg")))</f>
        <v>Queenstown</v>
      </c>
    </row>
    <row r="230" spans="1:14" x14ac:dyDescent="0.2">
      <c r="A230" s="18">
        <f>Titanic_raw!A230</f>
        <v>1120</v>
      </c>
      <c r="B230" s="17">
        <f>Titanic_raw!B230</f>
        <v>0</v>
      </c>
      <c r="C230" s="17" t="str">
        <f t="shared" si="3"/>
        <v>Dead</v>
      </c>
      <c r="D230" s="17" t="str">
        <f>CONCATENATE(Titanic_raw!C230, " Class")</f>
        <v>3 Class</v>
      </c>
      <c r="E230" s="19" t="str">
        <f>INDEX(tbl_passenger[Full Name],MATCH(A230,tbl_passenger[PassengerId],0))</f>
        <v>Mr. Thomas James Everett</v>
      </c>
      <c r="F230" t="str">
        <f>INDEX(tbl_passenger[Sex],MATCH(A230,tbl_passenger[PassengerId],0))</f>
        <v>Male</v>
      </c>
      <c r="G230" t="str">
        <f>IF(tbl_figures[Age]&lt;20, "Teens (0-19)", IF(tbl_figures[Age] &lt;40, "Youth (20-39)", IF(tbl_figures[Age]&lt;60, "Adult (40-59)", IF(tbl_figures[Age]&gt;=60, "Elders (60-Above)"))))</f>
        <v>Adult (40-59)</v>
      </c>
      <c r="H230" s="25">
        <f>IF(ISBLANK(Titanic_raw!F230),$C$423,Titanic_raw!F230)</f>
        <v>40.5</v>
      </c>
      <c r="I230">
        <f>Titanic_raw!G230</f>
        <v>0</v>
      </c>
      <c r="J230">
        <f>Titanic_raw!H230</f>
        <v>0</v>
      </c>
      <c r="K230" t="str">
        <f>Titanic_raw!I230</f>
        <v>C.A. 6212</v>
      </c>
      <c r="L230" s="26">
        <f>IF(ISBLANK(Titanic_raw!J230),$C$427,Titanic_raw!J230)</f>
        <v>15.1</v>
      </c>
      <c r="M230">
        <f>Titanic_raw!K230</f>
        <v>0</v>
      </c>
      <c r="N230" t="str">
        <f>IF(Titanic_raw!L230="S","Southampton",IF(Titanic_raw!L230="Q","Queenstown",IF(Titanic_raw!L230="C","Cherbourg")))</f>
        <v>Southampton</v>
      </c>
    </row>
    <row r="231" spans="1:14" x14ac:dyDescent="0.2">
      <c r="A231" s="18">
        <f>Titanic_raw!A231</f>
        <v>1121</v>
      </c>
      <c r="B231" s="21">
        <f>Titanic_raw!B231</f>
        <v>0</v>
      </c>
      <c r="C231" s="21" t="str">
        <f t="shared" si="3"/>
        <v>Dead</v>
      </c>
      <c r="D231" s="21" t="str">
        <f>CONCATENATE(Titanic_raw!C231, " Class")</f>
        <v>2 Class</v>
      </c>
      <c r="E231" s="23" t="str">
        <f>INDEX(tbl_passenger[Full Name],MATCH(A231,tbl_passenger[PassengerId],0))</f>
        <v>Mr. Samuel James Metcalfe Hocking</v>
      </c>
      <c r="F231" t="str">
        <f>INDEX(tbl_passenger[Sex],MATCH(A231,tbl_passenger[PassengerId],0))</f>
        <v>Male</v>
      </c>
      <c r="G231" t="str">
        <f>IF(tbl_figures[Age]&lt;20, "Teens (0-19)", IF(tbl_figures[Age] &lt;40, "Youth (20-39)", IF(tbl_figures[Age]&lt;60, "Adult (40-59)", IF(tbl_figures[Age]&gt;=60, "Elders (60-Above)"))))</f>
        <v>Youth (20-39)</v>
      </c>
      <c r="H231" s="25">
        <f>IF(ISBLANK(Titanic_raw!F231),$C$423,Titanic_raw!F231)</f>
        <v>36</v>
      </c>
      <c r="I231">
        <f>Titanic_raw!G231</f>
        <v>0</v>
      </c>
      <c r="J231">
        <f>Titanic_raw!H231</f>
        <v>0</v>
      </c>
      <c r="K231">
        <f>Titanic_raw!I231</f>
        <v>242963</v>
      </c>
      <c r="L231" s="26">
        <f>IF(ISBLANK(Titanic_raw!J231),$C$427,Titanic_raw!J231)</f>
        <v>13</v>
      </c>
      <c r="M231">
        <f>Titanic_raw!K231</f>
        <v>0</v>
      </c>
      <c r="N231" t="str">
        <f>IF(Titanic_raw!L231="S","Southampton",IF(Titanic_raw!L231="Q","Queenstown",IF(Titanic_raw!L231="C","Cherbourg")))</f>
        <v>Southampton</v>
      </c>
    </row>
    <row r="232" spans="1:14" x14ac:dyDescent="0.2">
      <c r="A232" s="18">
        <f>Titanic_raw!A232</f>
        <v>1122</v>
      </c>
      <c r="B232" s="17">
        <f>Titanic_raw!B232</f>
        <v>0</v>
      </c>
      <c r="C232" s="17" t="str">
        <f t="shared" si="3"/>
        <v>Dead</v>
      </c>
      <c r="D232" s="17" t="str">
        <f>CONCATENATE(Titanic_raw!C232, " Class")</f>
        <v>2 Class</v>
      </c>
      <c r="E232" s="19" t="str">
        <f>INDEX(tbl_passenger[Full Name],MATCH(A232,tbl_passenger[PassengerId],0))</f>
        <v>Mr. George Frederick Sweet</v>
      </c>
      <c r="F232" t="str">
        <f>INDEX(tbl_passenger[Sex],MATCH(A232,tbl_passenger[PassengerId],0))</f>
        <v>Male</v>
      </c>
      <c r="G232" t="str">
        <f>IF(tbl_figures[Age]&lt;20, "Teens (0-19)", IF(tbl_figures[Age] &lt;40, "Youth (20-39)", IF(tbl_figures[Age]&lt;60, "Adult (40-59)", IF(tbl_figures[Age]&gt;=60, "Elders (60-Above)"))))</f>
        <v>Teens (0-19)</v>
      </c>
      <c r="H232" s="25">
        <f>IF(ISBLANK(Titanic_raw!F232),$C$423,Titanic_raw!F232)</f>
        <v>14</v>
      </c>
      <c r="I232">
        <f>Titanic_raw!G232</f>
        <v>0</v>
      </c>
      <c r="J232">
        <f>Titanic_raw!H232</f>
        <v>0</v>
      </c>
      <c r="K232">
        <f>Titanic_raw!I232</f>
        <v>220845</v>
      </c>
      <c r="L232" s="26">
        <f>IF(ISBLANK(Titanic_raw!J232),$C$427,Titanic_raw!J232)</f>
        <v>65</v>
      </c>
      <c r="M232">
        <f>Titanic_raw!K232</f>
        <v>0</v>
      </c>
      <c r="N232" t="str">
        <f>IF(Titanic_raw!L232="S","Southampton",IF(Titanic_raw!L232="Q","Queenstown",IF(Titanic_raw!L232="C","Cherbourg")))</f>
        <v>Southampton</v>
      </c>
    </row>
    <row r="233" spans="1:14" x14ac:dyDescent="0.2">
      <c r="A233" s="18">
        <f>Titanic_raw!A233</f>
        <v>1123</v>
      </c>
      <c r="B233" s="21">
        <f>Titanic_raw!B233</f>
        <v>1</v>
      </c>
      <c r="C233" s="21" t="str">
        <f t="shared" si="3"/>
        <v>Survived</v>
      </c>
      <c r="D233" s="21" t="str">
        <f>CONCATENATE(Titanic_raw!C233, " Class")</f>
        <v>1 Class</v>
      </c>
      <c r="E233" s="23" t="str">
        <f>INDEX(tbl_passenger[Full Name],MATCH(A233,tbl_passenger[PassengerId],0))</f>
        <v>Miss. Constance Willard</v>
      </c>
      <c r="F233" t="str">
        <f>INDEX(tbl_passenger[Sex],MATCH(A233,tbl_passenger[PassengerId],0))</f>
        <v>Female</v>
      </c>
      <c r="G233" t="str">
        <f>IF(tbl_figures[Age]&lt;20, "Teens (0-19)", IF(tbl_figures[Age] &lt;40, "Youth (20-39)", IF(tbl_figures[Age]&lt;60, "Adult (40-59)", IF(tbl_figures[Age]&gt;=60, "Elders (60-Above)"))))</f>
        <v>Youth (20-39)</v>
      </c>
      <c r="H233" s="25">
        <f>IF(ISBLANK(Titanic_raw!F233),$C$423,Titanic_raw!F233)</f>
        <v>21</v>
      </c>
      <c r="I233">
        <f>Titanic_raw!G233</f>
        <v>0</v>
      </c>
      <c r="J233">
        <f>Titanic_raw!H233</f>
        <v>0</v>
      </c>
      <c r="K233">
        <f>Titanic_raw!I233</f>
        <v>113795</v>
      </c>
      <c r="L233" s="26">
        <f>IF(ISBLANK(Titanic_raw!J233),$C$427,Titanic_raw!J233)</f>
        <v>26.55</v>
      </c>
      <c r="M233">
        <f>Titanic_raw!K233</f>
        <v>0</v>
      </c>
      <c r="N233" t="str">
        <f>IF(Titanic_raw!L233="S","Southampton",IF(Titanic_raw!L233="Q","Queenstown",IF(Titanic_raw!L233="C","Cherbourg")))</f>
        <v>Southampton</v>
      </c>
    </row>
    <row r="234" spans="1:14" x14ac:dyDescent="0.2">
      <c r="A234" s="18">
        <f>Titanic_raw!A234</f>
        <v>1124</v>
      </c>
      <c r="B234" s="17">
        <f>Titanic_raw!B234</f>
        <v>0</v>
      </c>
      <c r="C234" s="17" t="str">
        <f t="shared" si="3"/>
        <v>Dead</v>
      </c>
      <c r="D234" s="17" t="str">
        <f>CONCATENATE(Titanic_raw!C234, " Class")</f>
        <v>3 Class</v>
      </c>
      <c r="E234" s="19" t="str">
        <f>INDEX(tbl_passenger[Full Name],MATCH(A234,tbl_passenger[PassengerId],0))</f>
        <v>Mr. Karl Johan Wiklund</v>
      </c>
      <c r="F234" t="str">
        <f>INDEX(tbl_passenger[Sex],MATCH(A234,tbl_passenger[PassengerId],0))</f>
        <v>Male</v>
      </c>
      <c r="G234" t="str">
        <f>IF(tbl_figures[Age]&lt;20, "Teens (0-19)", IF(tbl_figures[Age] &lt;40, "Youth (20-39)", IF(tbl_figures[Age]&lt;60, "Adult (40-59)", IF(tbl_figures[Age]&gt;=60, "Elders (60-Above)"))))</f>
        <v>Youth (20-39)</v>
      </c>
      <c r="H234" s="25">
        <f>IF(ISBLANK(Titanic_raw!F234),$C$423,Titanic_raw!F234)</f>
        <v>21</v>
      </c>
      <c r="I234">
        <f>Titanic_raw!G234</f>
        <v>1</v>
      </c>
      <c r="J234">
        <f>Titanic_raw!H234</f>
        <v>0</v>
      </c>
      <c r="K234">
        <f>Titanic_raw!I234</f>
        <v>3101266</v>
      </c>
      <c r="L234" s="26">
        <f>IF(ISBLANK(Titanic_raw!J234),$C$427,Titanic_raw!J234)</f>
        <v>6.4958</v>
      </c>
      <c r="M234">
        <f>Titanic_raw!K234</f>
        <v>0</v>
      </c>
      <c r="N234" t="str">
        <f>IF(Titanic_raw!L234="S","Southampton",IF(Titanic_raw!L234="Q","Queenstown",IF(Titanic_raw!L234="C","Cherbourg")))</f>
        <v>Southampton</v>
      </c>
    </row>
    <row r="235" spans="1:14" x14ac:dyDescent="0.2">
      <c r="A235" s="18">
        <f>Titanic_raw!A235</f>
        <v>1125</v>
      </c>
      <c r="B235" s="21">
        <f>Titanic_raw!B235</f>
        <v>0</v>
      </c>
      <c r="C235" s="21" t="str">
        <f t="shared" si="3"/>
        <v>Dead</v>
      </c>
      <c r="D235" s="21" t="str">
        <f>CONCATENATE(Titanic_raw!C235, " Class")</f>
        <v>3 Class</v>
      </c>
      <c r="E235" s="23" t="str">
        <f>INDEX(tbl_passenger[Full Name],MATCH(A235,tbl_passenger[PassengerId],0))</f>
        <v>Mr. Michael Linehan</v>
      </c>
      <c r="F235" t="str">
        <f>INDEX(tbl_passenger[Sex],MATCH(A235,tbl_passenger[PassengerId],0))</f>
        <v>Male</v>
      </c>
      <c r="G235" t="str">
        <f>IF(tbl_figures[Age]&lt;20, "Teens (0-19)", IF(tbl_figures[Age] &lt;40, "Youth (20-39)", IF(tbl_figures[Age]&lt;60, "Adult (40-59)", IF(tbl_figures[Age]&gt;=60, "Elders (60-Above)"))))</f>
        <v>Youth (20-39)</v>
      </c>
      <c r="H235" s="25">
        <f>IF(ISBLANK(Titanic_raw!F235),$C$423,Titanic_raw!F235)</f>
        <v>30.272590325616491</v>
      </c>
      <c r="I235">
        <f>Titanic_raw!G235</f>
        <v>0</v>
      </c>
      <c r="J235">
        <f>Titanic_raw!H235</f>
        <v>0</v>
      </c>
      <c r="K235">
        <f>Titanic_raw!I235</f>
        <v>330971</v>
      </c>
      <c r="L235" s="26">
        <f>IF(ISBLANK(Titanic_raw!J235),$C$427,Titanic_raw!J235)</f>
        <v>7.8792</v>
      </c>
      <c r="M235">
        <f>Titanic_raw!K235</f>
        <v>0</v>
      </c>
      <c r="N235" t="str">
        <f>IF(Titanic_raw!L235="S","Southampton",IF(Titanic_raw!L235="Q","Queenstown",IF(Titanic_raw!L235="C","Cherbourg")))</f>
        <v>Queenstown</v>
      </c>
    </row>
    <row r="236" spans="1:14" x14ac:dyDescent="0.2">
      <c r="A236" s="18">
        <f>Titanic_raw!A236</f>
        <v>1126</v>
      </c>
      <c r="B236" s="17">
        <f>Titanic_raw!B236</f>
        <v>0</v>
      </c>
      <c r="C236" s="17" t="str">
        <f t="shared" si="3"/>
        <v>Dead</v>
      </c>
      <c r="D236" s="17" t="str">
        <f>CONCATENATE(Titanic_raw!C236, " Class")</f>
        <v>1 Class</v>
      </c>
      <c r="E236" s="19" t="str">
        <f>INDEX(tbl_passenger[Full Name],MATCH(A236,tbl_passenger[PassengerId],0))</f>
        <v>Mr. John Bradley Cumings</v>
      </c>
      <c r="F236" t="str">
        <f>INDEX(tbl_passenger[Sex],MATCH(A236,tbl_passenger[PassengerId],0))</f>
        <v>Male</v>
      </c>
      <c r="G236" t="str">
        <f>IF(tbl_figures[Age]&lt;20, "Teens (0-19)", IF(tbl_figures[Age] &lt;40, "Youth (20-39)", IF(tbl_figures[Age]&lt;60, "Adult (40-59)", IF(tbl_figures[Age]&gt;=60, "Elders (60-Above)"))))</f>
        <v>Youth (20-39)</v>
      </c>
      <c r="H236" s="25">
        <f>IF(ISBLANK(Titanic_raw!F236),$C$423,Titanic_raw!F236)</f>
        <v>39</v>
      </c>
      <c r="I236">
        <f>Titanic_raw!G236</f>
        <v>1</v>
      </c>
      <c r="J236">
        <f>Titanic_raw!H236</f>
        <v>0</v>
      </c>
      <c r="K236" t="str">
        <f>Titanic_raw!I236</f>
        <v>PC 17599</v>
      </c>
      <c r="L236" s="26">
        <f>IF(ISBLANK(Titanic_raw!J236),$C$427,Titanic_raw!J236)</f>
        <v>71.283299999999997</v>
      </c>
      <c r="M236" t="str">
        <f>Titanic_raw!K236</f>
        <v>C85</v>
      </c>
      <c r="N236" t="str">
        <f>IF(Titanic_raw!L236="S","Southampton",IF(Titanic_raw!L236="Q","Queenstown",IF(Titanic_raw!L236="C","Cherbourg")))</f>
        <v>Cherbourg</v>
      </c>
    </row>
    <row r="237" spans="1:14" x14ac:dyDescent="0.2">
      <c r="A237" s="18">
        <f>Titanic_raw!A237</f>
        <v>1127</v>
      </c>
      <c r="B237" s="21">
        <f>Titanic_raw!B237</f>
        <v>0</v>
      </c>
      <c r="C237" s="21" t="str">
        <f t="shared" si="3"/>
        <v>Dead</v>
      </c>
      <c r="D237" s="21" t="str">
        <f>CONCATENATE(Titanic_raw!C237, " Class")</f>
        <v>3 Class</v>
      </c>
      <c r="E237" s="23" t="str">
        <f>INDEX(tbl_passenger[Full Name],MATCH(A237,tbl_passenger[PassengerId],0))</f>
        <v>Mr. Olof Edvin Vendel</v>
      </c>
      <c r="F237" t="str">
        <f>INDEX(tbl_passenger[Sex],MATCH(A237,tbl_passenger[PassengerId],0))</f>
        <v>Male</v>
      </c>
      <c r="G237" t="str">
        <f>IF(tbl_figures[Age]&lt;20, "Teens (0-19)", IF(tbl_figures[Age] &lt;40, "Youth (20-39)", IF(tbl_figures[Age]&lt;60, "Adult (40-59)", IF(tbl_figures[Age]&gt;=60, "Elders (60-Above)"))))</f>
        <v>Youth (20-39)</v>
      </c>
      <c r="H237" s="25">
        <f>IF(ISBLANK(Titanic_raw!F237),$C$423,Titanic_raw!F237)</f>
        <v>20</v>
      </c>
      <c r="I237">
        <f>Titanic_raw!G237</f>
        <v>0</v>
      </c>
      <c r="J237">
        <f>Titanic_raw!H237</f>
        <v>0</v>
      </c>
      <c r="K237">
        <f>Titanic_raw!I237</f>
        <v>350416</v>
      </c>
      <c r="L237" s="26">
        <f>IF(ISBLANK(Titanic_raw!J237),$C$427,Titanic_raw!J237)</f>
        <v>7.8541999999999996</v>
      </c>
      <c r="M237">
        <f>Titanic_raw!K237</f>
        <v>0</v>
      </c>
      <c r="N237" t="str">
        <f>IF(Titanic_raw!L237="S","Southampton",IF(Titanic_raw!L237="Q","Queenstown",IF(Titanic_raw!L237="C","Cherbourg")))</f>
        <v>Southampton</v>
      </c>
    </row>
    <row r="238" spans="1:14" x14ac:dyDescent="0.2">
      <c r="A238" s="18">
        <f>Titanic_raw!A238</f>
        <v>1128</v>
      </c>
      <c r="B238" s="17">
        <f>Titanic_raw!B238</f>
        <v>0</v>
      </c>
      <c r="C238" s="17" t="str">
        <f t="shared" si="3"/>
        <v>Dead</v>
      </c>
      <c r="D238" s="17" t="str">
        <f>CONCATENATE(Titanic_raw!C238, " Class")</f>
        <v>1 Class</v>
      </c>
      <c r="E238" s="19" t="str">
        <f>INDEX(tbl_passenger[Full Name],MATCH(A238,tbl_passenger[PassengerId],0))</f>
        <v>Mr. Frank Manley Warren</v>
      </c>
      <c r="F238" t="str">
        <f>INDEX(tbl_passenger[Sex],MATCH(A238,tbl_passenger[PassengerId],0))</f>
        <v>Male</v>
      </c>
      <c r="G238" t="str">
        <f>IF(tbl_figures[Age]&lt;20, "Teens (0-19)", IF(tbl_figures[Age] &lt;40, "Youth (20-39)", IF(tbl_figures[Age]&lt;60, "Adult (40-59)", IF(tbl_figures[Age]&gt;=60, "Elders (60-Above)"))))</f>
        <v>Elders (60-Above)</v>
      </c>
      <c r="H238" s="25">
        <f>IF(ISBLANK(Titanic_raw!F238),$C$423,Titanic_raw!F238)</f>
        <v>64</v>
      </c>
      <c r="I238">
        <f>Titanic_raw!G238</f>
        <v>1</v>
      </c>
      <c r="J238">
        <f>Titanic_raw!H238</f>
        <v>0</v>
      </c>
      <c r="K238">
        <f>Titanic_raw!I238</f>
        <v>110813</v>
      </c>
      <c r="L238" s="26">
        <f>IF(ISBLANK(Titanic_raw!J238),$C$427,Titanic_raw!J238)</f>
        <v>75.25</v>
      </c>
      <c r="M238" t="str">
        <f>Titanic_raw!K238</f>
        <v>D37</v>
      </c>
      <c r="N238" t="str">
        <f>IF(Titanic_raw!L238="S","Southampton",IF(Titanic_raw!L238="Q","Queenstown",IF(Titanic_raw!L238="C","Cherbourg")))</f>
        <v>Cherbourg</v>
      </c>
    </row>
    <row r="239" spans="1:14" x14ac:dyDescent="0.2">
      <c r="A239" s="18">
        <f>Titanic_raw!A239</f>
        <v>1129</v>
      </c>
      <c r="B239" s="21">
        <f>Titanic_raw!B239</f>
        <v>0</v>
      </c>
      <c r="C239" s="21" t="str">
        <f t="shared" si="3"/>
        <v>Dead</v>
      </c>
      <c r="D239" s="21" t="str">
        <f>CONCATENATE(Titanic_raw!C239, " Class")</f>
        <v>3 Class</v>
      </c>
      <c r="E239" s="23" t="str">
        <f>INDEX(tbl_passenger[Full Name],MATCH(A239,tbl_passenger[PassengerId],0))</f>
        <v>Mr. Raffull Baccos</v>
      </c>
      <c r="F239" t="str">
        <f>INDEX(tbl_passenger[Sex],MATCH(A239,tbl_passenger[PassengerId],0))</f>
        <v>Male</v>
      </c>
      <c r="G239" t="str">
        <f>IF(tbl_figures[Age]&lt;20, "Teens (0-19)", IF(tbl_figures[Age] &lt;40, "Youth (20-39)", IF(tbl_figures[Age]&lt;60, "Adult (40-59)", IF(tbl_figures[Age]&gt;=60, "Elders (60-Above)"))))</f>
        <v>Youth (20-39)</v>
      </c>
      <c r="H239" s="25">
        <f>IF(ISBLANK(Titanic_raw!F239),$C$423,Titanic_raw!F239)</f>
        <v>20</v>
      </c>
      <c r="I239">
        <f>Titanic_raw!G239</f>
        <v>0</v>
      </c>
      <c r="J239">
        <f>Titanic_raw!H239</f>
        <v>0</v>
      </c>
      <c r="K239">
        <f>Titanic_raw!I239</f>
        <v>2679</v>
      </c>
      <c r="L239" s="26">
        <f>IF(ISBLANK(Titanic_raw!J239),$C$427,Titanic_raw!J239)</f>
        <v>7.2249999999999996</v>
      </c>
      <c r="M239">
        <f>Titanic_raw!K239</f>
        <v>0</v>
      </c>
      <c r="N239" t="str">
        <f>IF(Titanic_raw!L239="S","Southampton",IF(Titanic_raw!L239="Q","Queenstown",IF(Titanic_raw!L239="C","Cherbourg")))</f>
        <v>Cherbourg</v>
      </c>
    </row>
    <row r="240" spans="1:14" x14ac:dyDescent="0.2">
      <c r="A240" s="18">
        <f>Titanic_raw!A240</f>
        <v>1130</v>
      </c>
      <c r="B240" s="17">
        <f>Titanic_raw!B240</f>
        <v>1</v>
      </c>
      <c r="C240" s="17" t="str">
        <f t="shared" si="3"/>
        <v>Survived</v>
      </c>
      <c r="D240" s="17" t="str">
        <f>CONCATENATE(Titanic_raw!C240, " Class")</f>
        <v>2 Class</v>
      </c>
      <c r="E240" s="19" t="str">
        <f>INDEX(tbl_passenger[Full Name],MATCH(A240,tbl_passenger[PassengerId],0))</f>
        <v>Miss. Marta Hiltunen</v>
      </c>
      <c r="F240" t="str">
        <f>INDEX(tbl_passenger[Sex],MATCH(A240,tbl_passenger[PassengerId],0))</f>
        <v>Female</v>
      </c>
      <c r="G240" t="str">
        <f>IF(tbl_figures[Age]&lt;20, "Teens (0-19)", IF(tbl_figures[Age] &lt;40, "Youth (20-39)", IF(tbl_figures[Age]&lt;60, "Adult (40-59)", IF(tbl_figures[Age]&gt;=60, "Elders (60-Above)"))))</f>
        <v>Teens (0-19)</v>
      </c>
      <c r="H240" s="25">
        <f>IF(ISBLANK(Titanic_raw!F240),$C$423,Titanic_raw!F240)</f>
        <v>18</v>
      </c>
      <c r="I240">
        <f>Titanic_raw!G240</f>
        <v>1</v>
      </c>
      <c r="J240">
        <f>Titanic_raw!H240</f>
        <v>1</v>
      </c>
      <c r="K240">
        <f>Titanic_raw!I240</f>
        <v>250650</v>
      </c>
      <c r="L240" s="26">
        <f>IF(ISBLANK(Titanic_raw!J240),$C$427,Titanic_raw!J240)</f>
        <v>13</v>
      </c>
      <c r="M240">
        <f>Titanic_raw!K240</f>
        <v>0</v>
      </c>
      <c r="N240" t="str">
        <f>IF(Titanic_raw!L240="S","Southampton",IF(Titanic_raw!L240="Q","Queenstown",IF(Titanic_raw!L240="C","Cherbourg")))</f>
        <v>Southampton</v>
      </c>
    </row>
    <row r="241" spans="1:14" x14ac:dyDescent="0.2">
      <c r="A241" s="18">
        <f>Titanic_raw!A241</f>
        <v>1131</v>
      </c>
      <c r="B241" s="21">
        <f>Titanic_raw!B241</f>
        <v>1</v>
      </c>
      <c r="C241" s="21" t="str">
        <f t="shared" si="3"/>
        <v>Survived</v>
      </c>
      <c r="D241" s="21" t="str">
        <f>CONCATENATE(Titanic_raw!C241, " Class")</f>
        <v>1 Class</v>
      </c>
      <c r="E241" s="23" t="str">
        <f>INDEX(tbl_passenger[Full Name],MATCH(A241,tbl_passenger[PassengerId],0))</f>
        <v>Mrs. Walter Donald (Mahala Dutton) Douglas</v>
      </c>
      <c r="F241" t="str">
        <f>INDEX(tbl_passenger[Sex],MATCH(A241,tbl_passenger[PassengerId],0))</f>
        <v>Female</v>
      </c>
      <c r="G241" t="str">
        <f>IF(tbl_figures[Age]&lt;20, "Teens (0-19)", IF(tbl_figures[Age] &lt;40, "Youth (20-39)", IF(tbl_figures[Age]&lt;60, "Adult (40-59)", IF(tbl_figures[Age]&gt;=60, "Elders (60-Above)"))))</f>
        <v>Adult (40-59)</v>
      </c>
      <c r="H241" s="25">
        <f>IF(ISBLANK(Titanic_raw!F241),$C$423,Titanic_raw!F241)</f>
        <v>48</v>
      </c>
      <c r="I241">
        <f>Titanic_raw!G241</f>
        <v>1</v>
      </c>
      <c r="J241">
        <f>Titanic_raw!H241</f>
        <v>0</v>
      </c>
      <c r="K241" t="str">
        <f>Titanic_raw!I241</f>
        <v>PC 17761</v>
      </c>
      <c r="L241" s="26">
        <f>IF(ISBLANK(Titanic_raw!J241),$C$427,Titanic_raw!J241)</f>
        <v>106.425</v>
      </c>
      <c r="M241" t="str">
        <f>Titanic_raw!K241</f>
        <v>C86</v>
      </c>
      <c r="N241" t="str">
        <f>IF(Titanic_raw!L241="S","Southampton",IF(Titanic_raw!L241="Q","Queenstown",IF(Titanic_raw!L241="C","Cherbourg")))</f>
        <v>Cherbourg</v>
      </c>
    </row>
    <row r="242" spans="1:14" x14ac:dyDescent="0.2">
      <c r="A242" s="18">
        <f>Titanic_raw!A242</f>
        <v>1132</v>
      </c>
      <c r="B242" s="17">
        <f>Titanic_raw!B242</f>
        <v>1</v>
      </c>
      <c r="C242" s="17" t="str">
        <f t="shared" si="3"/>
        <v>Survived</v>
      </c>
      <c r="D242" s="17" t="str">
        <f>CONCATENATE(Titanic_raw!C242, " Class")</f>
        <v>1 Class</v>
      </c>
      <c r="E242" s="19" t="str">
        <f>INDEX(tbl_passenger[Full Name],MATCH(A242,tbl_passenger[PassengerId],0))</f>
        <v>Mrs. Carl Johan (Sigrid Posse) Lindstrom</v>
      </c>
      <c r="F242" t="str">
        <f>INDEX(tbl_passenger[Sex],MATCH(A242,tbl_passenger[PassengerId],0))</f>
        <v>Female</v>
      </c>
      <c r="G242" t="str">
        <f>IF(tbl_figures[Age]&lt;20, "Teens (0-19)", IF(tbl_figures[Age] &lt;40, "Youth (20-39)", IF(tbl_figures[Age]&lt;60, "Adult (40-59)", IF(tbl_figures[Age]&gt;=60, "Elders (60-Above)"))))</f>
        <v>Adult (40-59)</v>
      </c>
      <c r="H242" s="25">
        <f>IF(ISBLANK(Titanic_raw!F242),$C$423,Titanic_raw!F242)</f>
        <v>55</v>
      </c>
      <c r="I242">
        <f>Titanic_raw!G242</f>
        <v>0</v>
      </c>
      <c r="J242">
        <f>Titanic_raw!H242</f>
        <v>0</v>
      </c>
      <c r="K242">
        <f>Titanic_raw!I242</f>
        <v>112377</v>
      </c>
      <c r="L242" s="26">
        <f>IF(ISBLANK(Titanic_raw!J242),$C$427,Titanic_raw!J242)</f>
        <v>27.720800000000001</v>
      </c>
      <c r="M242">
        <f>Titanic_raw!K242</f>
        <v>0</v>
      </c>
      <c r="N242" t="str">
        <f>IF(Titanic_raw!L242="S","Southampton",IF(Titanic_raw!L242="Q","Queenstown",IF(Titanic_raw!L242="C","Cherbourg")))</f>
        <v>Cherbourg</v>
      </c>
    </row>
    <row r="243" spans="1:14" x14ac:dyDescent="0.2">
      <c r="A243" s="18">
        <f>Titanic_raw!A243</f>
        <v>1133</v>
      </c>
      <c r="B243" s="21">
        <f>Titanic_raw!B243</f>
        <v>1</v>
      </c>
      <c r="C243" s="21" t="str">
        <f t="shared" si="3"/>
        <v>Survived</v>
      </c>
      <c r="D243" s="21" t="str">
        <f>CONCATENATE(Titanic_raw!C243, " Class")</f>
        <v>2 Class</v>
      </c>
      <c r="E243" s="23" t="str">
        <f>INDEX(tbl_passenger[Full Name],MATCH(A243,tbl_passenger[PassengerId],0))</f>
        <v>Mrs. (Alice Frances) Christy</v>
      </c>
      <c r="F243" t="str">
        <f>INDEX(tbl_passenger[Sex],MATCH(A243,tbl_passenger[PassengerId],0))</f>
        <v>Female</v>
      </c>
      <c r="G243" t="str">
        <f>IF(tbl_figures[Age]&lt;20, "Teens (0-19)", IF(tbl_figures[Age] &lt;40, "Youth (20-39)", IF(tbl_figures[Age]&lt;60, "Adult (40-59)", IF(tbl_figures[Age]&gt;=60, "Elders (60-Above)"))))</f>
        <v>Adult (40-59)</v>
      </c>
      <c r="H243" s="25">
        <f>IF(ISBLANK(Titanic_raw!F243),$C$423,Titanic_raw!F243)</f>
        <v>45</v>
      </c>
      <c r="I243">
        <f>Titanic_raw!G243</f>
        <v>0</v>
      </c>
      <c r="J243">
        <f>Titanic_raw!H243</f>
        <v>2</v>
      </c>
      <c r="K243">
        <f>Titanic_raw!I243</f>
        <v>237789</v>
      </c>
      <c r="L243" s="26">
        <f>IF(ISBLANK(Titanic_raw!J243),$C$427,Titanic_raw!J243)</f>
        <v>30</v>
      </c>
      <c r="M243">
        <f>Titanic_raw!K243</f>
        <v>0</v>
      </c>
      <c r="N243" t="str">
        <f>IF(Titanic_raw!L243="S","Southampton",IF(Titanic_raw!L243="Q","Queenstown",IF(Titanic_raw!L243="C","Cherbourg")))</f>
        <v>Southampton</v>
      </c>
    </row>
    <row r="244" spans="1:14" x14ac:dyDescent="0.2">
      <c r="A244" s="18">
        <f>Titanic_raw!A244</f>
        <v>1134</v>
      </c>
      <c r="B244" s="17">
        <f>Titanic_raw!B244</f>
        <v>0</v>
      </c>
      <c r="C244" s="17" t="str">
        <f t="shared" si="3"/>
        <v>Dead</v>
      </c>
      <c r="D244" s="17" t="str">
        <f>CONCATENATE(Titanic_raw!C244, " Class")</f>
        <v>1 Class</v>
      </c>
      <c r="E244" s="19" t="str">
        <f>INDEX(tbl_passenger[Full Name],MATCH(A244,tbl_passenger[PassengerId],0))</f>
        <v>Mr. Frederic Oakley Spedden</v>
      </c>
      <c r="F244" t="str">
        <f>INDEX(tbl_passenger[Sex],MATCH(A244,tbl_passenger[PassengerId],0))</f>
        <v>Male</v>
      </c>
      <c r="G244" t="str">
        <f>IF(tbl_figures[Age]&lt;20, "Teens (0-19)", IF(tbl_figures[Age] &lt;40, "Youth (20-39)", IF(tbl_figures[Age]&lt;60, "Adult (40-59)", IF(tbl_figures[Age]&gt;=60, "Elders (60-Above)"))))</f>
        <v>Adult (40-59)</v>
      </c>
      <c r="H244" s="25">
        <f>IF(ISBLANK(Titanic_raw!F244),$C$423,Titanic_raw!F244)</f>
        <v>45</v>
      </c>
      <c r="I244">
        <f>Titanic_raw!G244</f>
        <v>1</v>
      </c>
      <c r="J244">
        <f>Titanic_raw!H244</f>
        <v>1</v>
      </c>
      <c r="K244">
        <f>Titanic_raw!I244</f>
        <v>16966</v>
      </c>
      <c r="L244" s="26">
        <f>IF(ISBLANK(Titanic_raw!J244),$C$427,Titanic_raw!J244)</f>
        <v>134.5</v>
      </c>
      <c r="M244" t="str">
        <f>Titanic_raw!K244</f>
        <v>E34</v>
      </c>
      <c r="N244" t="str">
        <f>IF(Titanic_raw!L244="S","Southampton",IF(Titanic_raw!L244="Q","Queenstown",IF(Titanic_raw!L244="C","Cherbourg")))</f>
        <v>Cherbourg</v>
      </c>
    </row>
    <row r="245" spans="1:14" x14ac:dyDescent="0.2">
      <c r="A245" s="18">
        <f>Titanic_raw!A245</f>
        <v>1135</v>
      </c>
      <c r="B245" s="21">
        <f>Titanic_raw!B245</f>
        <v>0</v>
      </c>
      <c r="C245" s="21" t="str">
        <f t="shared" si="3"/>
        <v>Dead</v>
      </c>
      <c r="D245" s="21" t="str">
        <f>CONCATENATE(Titanic_raw!C245, " Class")</f>
        <v>3 Class</v>
      </c>
      <c r="E245" s="23" t="str">
        <f>INDEX(tbl_passenger[Full Name],MATCH(A245,tbl_passenger[PassengerId],0))</f>
        <v>Mr. Abraham Hyman</v>
      </c>
      <c r="F245" t="str">
        <f>INDEX(tbl_passenger[Sex],MATCH(A245,tbl_passenger[PassengerId],0))</f>
        <v>Male</v>
      </c>
      <c r="G245" t="str">
        <f>IF(tbl_figures[Age]&lt;20, "Teens (0-19)", IF(tbl_figures[Age] &lt;40, "Youth (20-39)", IF(tbl_figures[Age]&lt;60, "Adult (40-59)", IF(tbl_figures[Age]&gt;=60, "Elders (60-Above)"))))</f>
        <v>Youth (20-39)</v>
      </c>
      <c r="H245" s="25">
        <f>IF(ISBLANK(Titanic_raw!F245),$C$423,Titanic_raw!F245)</f>
        <v>30.272590325616491</v>
      </c>
      <c r="I245">
        <f>Titanic_raw!G245</f>
        <v>0</v>
      </c>
      <c r="J245">
        <f>Titanic_raw!H245</f>
        <v>0</v>
      </c>
      <c r="K245">
        <f>Titanic_raw!I245</f>
        <v>3470</v>
      </c>
      <c r="L245" s="26">
        <f>IF(ISBLANK(Titanic_raw!J245),$C$427,Titanic_raw!J245)</f>
        <v>7.8875000000000002</v>
      </c>
      <c r="M245">
        <f>Titanic_raw!K245</f>
        <v>0</v>
      </c>
      <c r="N245" t="str">
        <f>IF(Titanic_raw!L245="S","Southampton",IF(Titanic_raw!L245="Q","Queenstown",IF(Titanic_raw!L245="C","Cherbourg")))</f>
        <v>Southampton</v>
      </c>
    </row>
    <row r="246" spans="1:14" x14ac:dyDescent="0.2">
      <c r="A246" s="18">
        <f>Titanic_raw!A246</f>
        <v>1136</v>
      </c>
      <c r="B246" s="17">
        <f>Titanic_raw!B246</f>
        <v>0</v>
      </c>
      <c r="C246" s="17" t="str">
        <f t="shared" si="3"/>
        <v>Dead</v>
      </c>
      <c r="D246" s="17" t="str">
        <f>CONCATENATE(Titanic_raw!C246, " Class")</f>
        <v>3 Class</v>
      </c>
      <c r="E246" s="19" t="str">
        <f>INDEX(tbl_passenger[Full Name],MATCH(A246,tbl_passenger[PassengerId],0))</f>
        <v>Master. William Arthur Willie"" Johnston</v>
      </c>
      <c r="F246" t="str">
        <f>INDEX(tbl_passenger[Sex],MATCH(A246,tbl_passenger[PassengerId],0))</f>
        <v>Male</v>
      </c>
      <c r="G246" t="str">
        <f>IF(tbl_figures[Age]&lt;20, "Teens (0-19)", IF(tbl_figures[Age] &lt;40, "Youth (20-39)", IF(tbl_figures[Age]&lt;60, "Adult (40-59)", IF(tbl_figures[Age]&gt;=60, "Elders (60-Above)"))))</f>
        <v>Youth (20-39)</v>
      </c>
      <c r="H246" s="25">
        <f>IF(ISBLANK(Titanic_raw!F246),$C$423,Titanic_raw!F246)</f>
        <v>30.272590325616491</v>
      </c>
      <c r="I246">
        <f>Titanic_raw!G246</f>
        <v>1</v>
      </c>
      <c r="J246">
        <f>Titanic_raw!H246</f>
        <v>2</v>
      </c>
      <c r="K246" t="str">
        <f>Titanic_raw!I246</f>
        <v>W./C. 6607</v>
      </c>
      <c r="L246" s="26">
        <f>IF(ISBLANK(Titanic_raw!J246),$C$427,Titanic_raw!J246)</f>
        <v>23.45</v>
      </c>
      <c r="M246">
        <f>Titanic_raw!K246</f>
        <v>0</v>
      </c>
      <c r="N246" t="str">
        <f>IF(Titanic_raw!L246="S","Southampton",IF(Titanic_raw!L246="Q","Queenstown",IF(Titanic_raw!L246="C","Cherbourg")))</f>
        <v>Southampton</v>
      </c>
    </row>
    <row r="247" spans="1:14" x14ac:dyDescent="0.2">
      <c r="A247" s="18">
        <f>Titanic_raw!A247</f>
        <v>1137</v>
      </c>
      <c r="B247" s="21">
        <f>Titanic_raw!B247</f>
        <v>0</v>
      </c>
      <c r="C247" s="21" t="str">
        <f t="shared" si="3"/>
        <v>Dead</v>
      </c>
      <c r="D247" s="21" t="str">
        <f>CONCATENATE(Titanic_raw!C247, " Class")</f>
        <v>1 Class</v>
      </c>
      <c r="E247" s="23" t="str">
        <f>INDEX(tbl_passenger[Full Name],MATCH(A247,tbl_passenger[PassengerId],0))</f>
        <v>Mr. Frederick R Kenyon</v>
      </c>
      <c r="F247" t="str">
        <f>INDEX(tbl_passenger[Sex],MATCH(A247,tbl_passenger[PassengerId],0))</f>
        <v>Male</v>
      </c>
      <c r="G247" t="str">
        <f>IF(tbl_figures[Age]&lt;20, "Teens (0-19)", IF(tbl_figures[Age] &lt;40, "Youth (20-39)", IF(tbl_figures[Age]&lt;60, "Adult (40-59)", IF(tbl_figures[Age]&gt;=60, "Elders (60-Above)"))))</f>
        <v>Adult (40-59)</v>
      </c>
      <c r="H247" s="25">
        <f>IF(ISBLANK(Titanic_raw!F247),$C$423,Titanic_raw!F247)</f>
        <v>41</v>
      </c>
      <c r="I247">
        <f>Titanic_raw!G247</f>
        <v>1</v>
      </c>
      <c r="J247">
        <f>Titanic_raw!H247</f>
        <v>0</v>
      </c>
      <c r="K247">
        <f>Titanic_raw!I247</f>
        <v>17464</v>
      </c>
      <c r="L247" s="26">
        <f>IF(ISBLANK(Titanic_raw!J247),$C$427,Titanic_raw!J247)</f>
        <v>51.862499999999997</v>
      </c>
      <c r="M247" t="str">
        <f>Titanic_raw!K247</f>
        <v>D21</v>
      </c>
      <c r="N247" t="str">
        <f>IF(Titanic_raw!L247="S","Southampton",IF(Titanic_raw!L247="Q","Queenstown",IF(Titanic_raw!L247="C","Cherbourg")))</f>
        <v>Southampton</v>
      </c>
    </row>
    <row r="248" spans="1:14" x14ac:dyDescent="0.2">
      <c r="A248" s="18">
        <f>Titanic_raw!A248</f>
        <v>1138</v>
      </c>
      <c r="B248" s="17">
        <f>Titanic_raw!B248</f>
        <v>1</v>
      </c>
      <c r="C248" s="17" t="str">
        <f t="shared" si="3"/>
        <v>Survived</v>
      </c>
      <c r="D248" s="17" t="str">
        <f>CONCATENATE(Titanic_raw!C248, " Class")</f>
        <v>2 Class</v>
      </c>
      <c r="E248" s="19" t="str">
        <f>INDEX(tbl_passenger[Full Name],MATCH(A248,tbl_passenger[PassengerId],0))</f>
        <v>Mrs. J Frank (Claire Bennett) Karnes</v>
      </c>
      <c r="F248" t="str">
        <f>INDEX(tbl_passenger[Sex],MATCH(A248,tbl_passenger[PassengerId],0))</f>
        <v>Female</v>
      </c>
      <c r="G248" t="str">
        <f>IF(tbl_figures[Age]&lt;20, "Teens (0-19)", IF(tbl_figures[Age] &lt;40, "Youth (20-39)", IF(tbl_figures[Age]&lt;60, "Adult (40-59)", IF(tbl_figures[Age]&gt;=60, "Elders (60-Above)"))))</f>
        <v>Youth (20-39)</v>
      </c>
      <c r="H248" s="25">
        <f>IF(ISBLANK(Titanic_raw!F248),$C$423,Titanic_raw!F248)</f>
        <v>22</v>
      </c>
      <c r="I248">
        <f>Titanic_raw!G248</f>
        <v>0</v>
      </c>
      <c r="J248">
        <f>Titanic_raw!H248</f>
        <v>0</v>
      </c>
      <c r="K248" t="str">
        <f>Titanic_raw!I248</f>
        <v>F.C.C. 13534</v>
      </c>
      <c r="L248" s="26">
        <f>IF(ISBLANK(Titanic_raw!J248),$C$427,Titanic_raw!J248)</f>
        <v>21</v>
      </c>
      <c r="M248">
        <f>Titanic_raw!K248</f>
        <v>0</v>
      </c>
      <c r="N248" t="str">
        <f>IF(Titanic_raw!L248="S","Southampton",IF(Titanic_raw!L248="Q","Queenstown",IF(Titanic_raw!L248="C","Cherbourg")))</f>
        <v>Southampton</v>
      </c>
    </row>
    <row r="249" spans="1:14" x14ac:dyDescent="0.2">
      <c r="A249" s="18">
        <f>Titanic_raw!A249</f>
        <v>1139</v>
      </c>
      <c r="B249" s="21">
        <f>Titanic_raw!B249</f>
        <v>0</v>
      </c>
      <c r="C249" s="21" t="str">
        <f t="shared" si="3"/>
        <v>Dead</v>
      </c>
      <c r="D249" s="21" t="str">
        <f>CONCATENATE(Titanic_raw!C249, " Class")</f>
        <v>2 Class</v>
      </c>
      <c r="E249" s="23" t="str">
        <f>INDEX(tbl_passenger[Full Name],MATCH(A249,tbl_passenger[PassengerId],0))</f>
        <v>Mr. James Vivian Drew</v>
      </c>
      <c r="F249" t="str">
        <f>INDEX(tbl_passenger[Sex],MATCH(A249,tbl_passenger[PassengerId],0))</f>
        <v>Male</v>
      </c>
      <c r="G249" t="str">
        <f>IF(tbl_figures[Age]&lt;20, "Teens (0-19)", IF(tbl_figures[Age] &lt;40, "Youth (20-39)", IF(tbl_figures[Age]&lt;60, "Adult (40-59)", IF(tbl_figures[Age]&gt;=60, "Elders (60-Above)"))))</f>
        <v>Adult (40-59)</v>
      </c>
      <c r="H249" s="25">
        <f>IF(ISBLANK(Titanic_raw!F249),$C$423,Titanic_raw!F249)</f>
        <v>42</v>
      </c>
      <c r="I249">
        <f>Titanic_raw!G249</f>
        <v>1</v>
      </c>
      <c r="J249">
        <f>Titanic_raw!H249</f>
        <v>1</v>
      </c>
      <c r="K249">
        <f>Titanic_raw!I249</f>
        <v>28220</v>
      </c>
      <c r="L249" s="26">
        <f>IF(ISBLANK(Titanic_raw!J249),$C$427,Titanic_raw!J249)</f>
        <v>32.5</v>
      </c>
      <c r="M249">
        <f>Titanic_raw!K249</f>
        <v>0</v>
      </c>
      <c r="N249" t="str">
        <f>IF(Titanic_raw!L249="S","Southampton",IF(Titanic_raw!L249="Q","Queenstown",IF(Titanic_raw!L249="C","Cherbourg")))</f>
        <v>Southampton</v>
      </c>
    </row>
    <row r="250" spans="1:14" x14ac:dyDescent="0.2">
      <c r="A250" s="18">
        <f>Titanic_raw!A250</f>
        <v>1140</v>
      </c>
      <c r="B250" s="17">
        <f>Titanic_raw!B250</f>
        <v>1</v>
      </c>
      <c r="C250" s="17" t="str">
        <f t="shared" si="3"/>
        <v>Survived</v>
      </c>
      <c r="D250" s="17" t="str">
        <f>CONCATENATE(Titanic_raw!C250, " Class")</f>
        <v>2 Class</v>
      </c>
      <c r="E250" s="19" t="str">
        <f>INDEX(tbl_passenger[Full Name],MATCH(A250,tbl_passenger[PassengerId],0))</f>
        <v>Mrs. Stephen (Annie Margaret Hill) Hold</v>
      </c>
      <c r="F250" t="str">
        <f>INDEX(tbl_passenger[Sex],MATCH(A250,tbl_passenger[PassengerId],0))</f>
        <v>Female</v>
      </c>
      <c r="G250" t="str">
        <f>IF(tbl_figures[Age]&lt;20, "Teens (0-19)", IF(tbl_figures[Age] &lt;40, "Youth (20-39)", IF(tbl_figures[Age]&lt;60, "Adult (40-59)", IF(tbl_figures[Age]&gt;=60, "Elders (60-Above)"))))</f>
        <v>Youth (20-39)</v>
      </c>
      <c r="H250" s="25">
        <f>IF(ISBLANK(Titanic_raw!F250),$C$423,Titanic_raw!F250)</f>
        <v>29</v>
      </c>
      <c r="I250">
        <f>Titanic_raw!G250</f>
        <v>1</v>
      </c>
      <c r="J250">
        <f>Titanic_raw!H250</f>
        <v>0</v>
      </c>
      <c r="K250">
        <f>Titanic_raw!I250</f>
        <v>26707</v>
      </c>
      <c r="L250" s="26">
        <f>IF(ISBLANK(Titanic_raw!J250),$C$427,Titanic_raw!J250)</f>
        <v>26</v>
      </c>
      <c r="M250">
        <f>Titanic_raw!K250</f>
        <v>0</v>
      </c>
      <c r="N250" t="str">
        <f>IF(Titanic_raw!L250="S","Southampton",IF(Titanic_raw!L250="Q","Queenstown",IF(Titanic_raw!L250="C","Cherbourg")))</f>
        <v>Southampton</v>
      </c>
    </row>
    <row r="251" spans="1:14" x14ac:dyDescent="0.2">
      <c r="A251" s="18">
        <f>Titanic_raw!A251</f>
        <v>1141</v>
      </c>
      <c r="B251" s="21">
        <f>Titanic_raw!B251</f>
        <v>1</v>
      </c>
      <c r="C251" s="21" t="str">
        <f t="shared" si="3"/>
        <v>Survived</v>
      </c>
      <c r="D251" s="21" t="str">
        <f>CONCATENATE(Titanic_raw!C251, " Class")</f>
        <v>3 Class</v>
      </c>
      <c r="E251" s="23" t="str">
        <f>INDEX(tbl_passenger[Full Name],MATCH(A251,tbl_passenger[PassengerId],0))</f>
        <v>Mrs. Betros (Zahie Maria" Elias)" Khalil</v>
      </c>
      <c r="F251" t="str">
        <f>INDEX(tbl_passenger[Sex],MATCH(A251,tbl_passenger[PassengerId],0))</f>
        <v>Female</v>
      </c>
      <c r="G251" t="str">
        <f>IF(tbl_figures[Age]&lt;20, "Teens (0-19)", IF(tbl_figures[Age] &lt;40, "Youth (20-39)", IF(tbl_figures[Age]&lt;60, "Adult (40-59)", IF(tbl_figures[Age]&gt;=60, "Elders (60-Above)"))))</f>
        <v>Youth (20-39)</v>
      </c>
      <c r="H251" s="25">
        <f>IF(ISBLANK(Titanic_raw!F251),$C$423,Titanic_raw!F251)</f>
        <v>30.272590325616491</v>
      </c>
      <c r="I251">
        <f>Titanic_raw!G251</f>
        <v>1</v>
      </c>
      <c r="J251">
        <f>Titanic_raw!H251</f>
        <v>0</v>
      </c>
      <c r="K251">
        <f>Titanic_raw!I251</f>
        <v>2660</v>
      </c>
      <c r="L251" s="26">
        <f>IF(ISBLANK(Titanic_raw!J251),$C$427,Titanic_raw!J251)</f>
        <v>14.4542</v>
      </c>
      <c r="M251">
        <f>Titanic_raw!K251</f>
        <v>0</v>
      </c>
      <c r="N251" t="str">
        <f>IF(Titanic_raw!L251="S","Southampton",IF(Titanic_raw!L251="Q","Queenstown",IF(Titanic_raw!L251="C","Cherbourg")))</f>
        <v>Cherbourg</v>
      </c>
    </row>
    <row r="252" spans="1:14" x14ac:dyDescent="0.2">
      <c r="A252" s="18">
        <f>Titanic_raw!A252</f>
        <v>1142</v>
      </c>
      <c r="B252" s="17">
        <f>Titanic_raw!B252</f>
        <v>1</v>
      </c>
      <c r="C252" s="17" t="str">
        <f t="shared" si="3"/>
        <v>Survived</v>
      </c>
      <c r="D252" s="17" t="str">
        <f>CONCATENATE(Titanic_raw!C252, " Class")</f>
        <v>2 Class</v>
      </c>
      <c r="E252" s="19" t="str">
        <f>INDEX(tbl_passenger[Full Name],MATCH(A252,tbl_passenger[PassengerId],0))</f>
        <v>Miss. Barbara J West</v>
      </c>
      <c r="F252" t="str">
        <f>INDEX(tbl_passenger[Sex],MATCH(A252,tbl_passenger[PassengerId],0))</f>
        <v>Female</v>
      </c>
      <c r="G252" t="str">
        <f>IF(tbl_figures[Age]&lt;20, "Teens (0-19)", IF(tbl_figures[Age] &lt;40, "Youth (20-39)", IF(tbl_figures[Age]&lt;60, "Adult (40-59)", IF(tbl_figures[Age]&gt;=60, "Elders (60-Above)"))))</f>
        <v>Teens (0-19)</v>
      </c>
      <c r="H252" s="25">
        <f>IF(ISBLANK(Titanic_raw!F252),$C$423,Titanic_raw!F252)</f>
        <v>0.92</v>
      </c>
      <c r="I252">
        <f>Titanic_raw!G252</f>
        <v>1</v>
      </c>
      <c r="J252">
        <f>Titanic_raw!H252</f>
        <v>2</v>
      </c>
      <c r="K252" t="str">
        <f>Titanic_raw!I252</f>
        <v>C.A. 34651</v>
      </c>
      <c r="L252" s="26">
        <f>IF(ISBLANK(Titanic_raw!J252),$C$427,Titanic_raw!J252)</f>
        <v>27.75</v>
      </c>
      <c r="M252">
        <f>Titanic_raw!K252</f>
        <v>0</v>
      </c>
      <c r="N252" t="str">
        <f>IF(Titanic_raw!L252="S","Southampton",IF(Titanic_raw!L252="Q","Queenstown",IF(Titanic_raw!L252="C","Cherbourg")))</f>
        <v>Southampton</v>
      </c>
    </row>
    <row r="253" spans="1:14" x14ac:dyDescent="0.2">
      <c r="A253" s="18">
        <f>Titanic_raw!A253</f>
        <v>1143</v>
      </c>
      <c r="B253" s="21">
        <f>Titanic_raw!B253</f>
        <v>0</v>
      </c>
      <c r="C253" s="21" t="str">
        <f t="shared" si="3"/>
        <v>Dead</v>
      </c>
      <c r="D253" s="21" t="str">
        <f>CONCATENATE(Titanic_raw!C253, " Class")</f>
        <v>3 Class</v>
      </c>
      <c r="E253" s="23" t="str">
        <f>INDEX(tbl_passenger[Full Name],MATCH(A253,tbl_passenger[PassengerId],0))</f>
        <v>Mr. Abraham August Johannes Abrahamsson</v>
      </c>
      <c r="F253" t="str">
        <f>INDEX(tbl_passenger[Sex],MATCH(A253,tbl_passenger[PassengerId],0))</f>
        <v>Male</v>
      </c>
      <c r="G253" t="str">
        <f>IF(tbl_figures[Age]&lt;20, "Teens (0-19)", IF(tbl_figures[Age] &lt;40, "Youth (20-39)", IF(tbl_figures[Age]&lt;60, "Adult (40-59)", IF(tbl_figures[Age]&gt;=60, "Elders (60-Above)"))))</f>
        <v>Youth (20-39)</v>
      </c>
      <c r="H253" s="25">
        <f>IF(ISBLANK(Titanic_raw!F253),$C$423,Titanic_raw!F253)</f>
        <v>20</v>
      </c>
      <c r="I253">
        <f>Titanic_raw!G253</f>
        <v>0</v>
      </c>
      <c r="J253">
        <f>Titanic_raw!H253</f>
        <v>0</v>
      </c>
      <c r="K253" t="str">
        <f>Titanic_raw!I253</f>
        <v>SOTON/O2 3101284</v>
      </c>
      <c r="L253" s="26">
        <f>IF(ISBLANK(Titanic_raw!J253),$C$427,Titanic_raw!J253)</f>
        <v>7.9249999999999998</v>
      </c>
      <c r="M253">
        <f>Titanic_raw!K253</f>
        <v>0</v>
      </c>
      <c r="N253" t="str">
        <f>IF(Titanic_raw!L253="S","Southampton",IF(Titanic_raw!L253="Q","Queenstown",IF(Titanic_raw!L253="C","Cherbourg")))</f>
        <v>Southampton</v>
      </c>
    </row>
    <row r="254" spans="1:14" x14ac:dyDescent="0.2">
      <c r="A254" s="18">
        <f>Titanic_raw!A254</f>
        <v>1144</v>
      </c>
      <c r="B254" s="17">
        <f>Titanic_raw!B254</f>
        <v>0</v>
      </c>
      <c r="C254" s="17" t="str">
        <f t="shared" si="3"/>
        <v>Dead</v>
      </c>
      <c r="D254" s="17" t="str">
        <f>CONCATENATE(Titanic_raw!C254, " Class")</f>
        <v>1 Class</v>
      </c>
      <c r="E254" s="19" t="str">
        <f>INDEX(tbl_passenger[Full Name],MATCH(A254,tbl_passenger[PassengerId],0))</f>
        <v>Mr. Walter Miller Clark</v>
      </c>
      <c r="F254" t="str">
        <f>INDEX(tbl_passenger[Sex],MATCH(A254,tbl_passenger[PassengerId],0))</f>
        <v>Male</v>
      </c>
      <c r="G254" t="str">
        <f>IF(tbl_figures[Age]&lt;20, "Teens (0-19)", IF(tbl_figures[Age] &lt;40, "Youth (20-39)", IF(tbl_figures[Age]&lt;60, "Adult (40-59)", IF(tbl_figures[Age]&gt;=60, "Elders (60-Above)"))))</f>
        <v>Youth (20-39)</v>
      </c>
      <c r="H254" s="25">
        <f>IF(ISBLANK(Titanic_raw!F254),$C$423,Titanic_raw!F254)</f>
        <v>27</v>
      </c>
      <c r="I254">
        <f>Titanic_raw!G254</f>
        <v>1</v>
      </c>
      <c r="J254">
        <f>Titanic_raw!H254</f>
        <v>0</v>
      </c>
      <c r="K254">
        <f>Titanic_raw!I254</f>
        <v>13508</v>
      </c>
      <c r="L254" s="26">
        <f>IF(ISBLANK(Titanic_raw!J254),$C$427,Titanic_raw!J254)</f>
        <v>136.7792</v>
      </c>
      <c r="M254" t="str">
        <f>Titanic_raw!K254</f>
        <v>C89</v>
      </c>
      <c r="N254" t="str">
        <f>IF(Titanic_raw!L254="S","Southampton",IF(Titanic_raw!L254="Q","Queenstown",IF(Titanic_raw!L254="C","Cherbourg")))</f>
        <v>Cherbourg</v>
      </c>
    </row>
    <row r="255" spans="1:14" x14ac:dyDescent="0.2">
      <c r="A255" s="18">
        <f>Titanic_raw!A255</f>
        <v>1145</v>
      </c>
      <c r="B255" s="21">
        <f>Titanic_raw!B255</f>
        <v>0</v>
      </c>
      <c r="C255" s="21" t="str">
        <f t="shared" si="3"/>
        <v>Dead</v>
      </c>
      <c r="D255" s="21" t="str">
        <f>CONCATENATE(Titanic_raw!C255, " Class")</f>
        <v>3 Class</v>
      </c>
      <c r="E255" s="23" t="str">
        <f>INDEX(tbl_passenger[Full Name],MATCH(A255,tbl_passenger[PassengerId],0))</f>
        <v>Mr. Karl Johan Salander</v>
      </c>
      <c r="F255" t="str">
        <f>INDEX(tbl_passenger[Sex],MATCH(A255,tbl_passenger[PassengerId],0))</f>
        <v>Male</v>
      </c>
      <c r="G255" t="str">
        <f>IF(tbl_figures[Age]&lt;20, "Teens (0-19)", IF(tbl_figures[Age] &lt;40, "Youth (20-39)", IF(tbl_figures[Age]&lt;60, "Adult (40-59)", IF(tbl_figures[Age]&gt;=60, "Elders (60-Above)"))))</f>
        <v>Youth (20-39)</v>
      </c>
      <c r="H255" s="25">
        <f>IF(ISBLANK(Titanic_raw!F255),$C$423,Titanic_raw!F255)</f>
        <v>24</v>
      </c>
      <c r="I255">
        <f>Titanic_raw!G255</f>
        <v>0</v>
      </c>
      <c r="J255">
        <f>Titanic_raw!H255</f>
        <v>0</v>
      </c>
      <c r="K255">
        <f>Titanic_raw!I255</f>
        <v>7266</v>
      </c>
      <c r="L255" s="26">
        <f>IF(ISBLANK(Titanic_raw!J255),$C$427,Titanic_raw!J255)</f>
        <v>9.3249999999999993</v>
      </c>
      <c r="M255">
        <f>Titanic_raw!K255</f>
        <v>0</v>
      </c>
      <c r="N255" t="str">
        <f>IF(Titanic_raw!L255="S","Southampton",IF(Titanic_raw!L255="Q","Queenstown",IF(Titanic_raw!L255="C","Cherbourg")))</f>
        <v>Southampton</v>
      </c>
    </row>
    <row r="256" spans="1:14" x14ac:dyDescent="0.2">
      <c r="A256" s="18">
        <f>Titanic_raw!A256</f>
        <v>1146</v>
      </c>
      <c r="B256" s="17">
        <f>Titanic_raw!B256</f>
        <v>0</v>
      </c>
      <c r="C256" s="17" t="str">
        <f t="shared" si="3"/>
        <v>Dead</v>
      </c>
      <c r="D256" s="17" t="str">
        <f>CONCATENATE(Titanic_raw!C256, " Class")</f>
        <v>3 Class</v>
      </c>
      <c r="E256" s="19" t="str">
        <f>INDEX(tbl_passenger[Full Name],MATCH(A256,tbl_passenger[PassengerId],0))</f>
        <v>Mr. Linhart Wenzel</v>
      </c>
      <c r="F256" t="str">
        <f>INDEX(tbl_passenger[Sex],MATCH(A256,tbl_passenger[PassengerId],0))</f>
        <v>Male</v>
      </c>
      <c r="G256" t="str">
        <f>IF(tbl_figures[Age]&lt;20, "Teens (0-19)", IF(tbl_figures[Age] &lt;40, "Youth (20-39)", IF(tbl_figures[Age]&lt;60, "Adult (40-59)", IF(tbl_figures[Age]&gt;=60, "Elders (60-Above)"))))</f>
        <v>Youth (20-39)</v>
      </c>
      <c r="H256" s="25">
        <f>IF(ISBLANK(Titanic_raw!F256),$C$423,Titanic_raw!F256)</f>
        <v>32.5</v>
      </c>
      <c r="I256">
        <f>Titanic_raw!G256</f>
        <v>0</v>
      </c>
      <c r="J256">
        <f>Titanic_raw!H256</f>
        <v>0</v>
      </c>
      <c r="K256">
        <f>Titanic_raw!I256</f>
        <v>345775</v>
      </c>
      <c r="L256" s="26">
        <f>IF(ISBLANK(Titanic_raw!J256),$C$427,Titanic_raw!J256)</f>
        <v>9.5</v>
      </c>
      <c r="M256">
        <f>Titanic_raw!K256</f>
        <v>0</v>
      </c>
      <c r="N256" t="str">
        <f>IF(Titanic_raw!L256="S","Southampton",IF(Titanic_raw!L256="Q","Queenstown",IF(Titanic_raw!L256="C","Cherbourg")))</f>
        <v>Southampton</v>
      </c>
    </row>
    <row r="257" spans="1:14" x14ac:dyDescent="0.2">
      <c r="A257" s="18">
        <f>Titanic_raw!A257</f>
        <v>1147</v>
      </c>
      <c r="B257" s="21">
        <f>Titanic_raw!B257</f>
        <v>0</v>
      </c>
      <c r="C257" s="21" t="str">
        <f t="shared" si="3"/>
        <v>Dead</v>
      </c>
      <c r="D257" s="21" t="str">
        <f>CONCATENATE(Titanic_raw!C257, " Class")</f>
        <v>3 Class</v>
      </c>
      <c r="E257" s="23" t="str">
        <f>INDEX(tbl_passenger[Full Name],MATCH(A257,tbl_passenger[PassengerId],0))</f>
        <v>Mr. George William MacKay</v>
      </c>
      <c r="F257" t="str">
        <f>INDEX(tbl_passenger[Sex],MATCH(A257,tbl_passenger[PassengerId],0))</f>
        <v>Male</v>
      </c>
      <c r="G257" t="str">
        <f>IF(tbl_figures[Age]&lt;20, "Teens (0-19)", IF(tbl_figures[Age] &lt;40, "Youth (20-39)", IF(tbl_figures[Age]&lt;60, "Adult (40-59)", IF(tbl_figures[Age]&gt;=60, "Elders (60-Above)"))))</f>
        <v>Youth (20-39)</v>
      </c>
      <c r="H257" s="25">
        <f>IF(ISBLANK(Titanic_raw!F257),$C$423,Titanic_raw!F257)</f>
        <v>30.272590325616491</v>
      </c>
      <c r="I257">
        <f>Titanic_raw!G257</f>
        <v>0</v>
      </c>
      <c r="J257">
        <f>Titanic_raw!H257</f>
        <v>0</v>
      </c>
      <c r="K257" t="str">
        <f>Titanic_raw!I257</f>
        <v>C.A. 42795</v>
      </c>
      <c r="L257" s="26">
        <f>IF(ISBLANK(Titanic_raw!J257),$C$427,Titanic_raw!J257)</f>
        <v>7.55</v>
      </c>
      <c r="M257">
        <f>Titanic_raw!K257</f>
        <v>0</v>
      </c>
      <c r="N257" t="str">
        <f>IF(Titanic_raw!L257="S","Southampton",IF(Titanic_raw!L257="Q","Queenstown",IF(Titanic_raw!L257="C","Cherbourg")))</f>
        <v>Southampton</v>
      </c>
    </row>
    <row r="258" spans="1:14" x14ac:dyDescent="0.2">
      <c r="A258" s="18">
        <f>Titanic_raw!A258</f>
        <v>1148</v>
      </c>
      <c r="B258" s="17">
        <f>Titanic_raw!B258</f>
        <v>0</v>
      </c>
      <c r="C258" s="17" t="str">
        <f t="shared" ref="C258:C321" si="4">IF(B258=0,"Dead","Survived")</f>
        <v>Dead</v>
      </c>
      <c r="D258" s="17" t="str">
        <f>CONCATENATE(Titanic_raw!C258, " Class")</f>
        <v>3 Class</v>
      </c>
      <c r="E258" s="19" t="str">
        <f>INDEX(tbl_passenger[Full Name],MATCH(A258,tbl_passenger[PassengerId],0))</f>
        <v>Mr. John Mahon</v>
      </c>
      <c r="F258" t="str">
        <f>INDEX(tbl_passenger[Sex],MATCH(A258,tbl_passenger[PassengerId],0))</f>
        <v>Male</v>
      </c>
      <c r="G258" t="str">
        <f>IF(tbl_figures[Age]&lt;20, "Teens (0-19)", IF(tbl_figures[Age] &lt;40, "Youth (20-39)", IF(tbl_figures[Age]&lt;60, "Adult (40-59)", IF(tbl_figures[Age]&gt;=60, "Elders (60-Above)"))))</f>
        <v>Youth (20-39)</v>
      </c>
      <c r="H258" s="25">
        <f>IF(ISBLANK(Titanic_raw!F258),$C$423,Titanic_raw!F258)</f>
        <v>30.272590325616491</v>
      </c>
      <c r="I258">
        <f>Titanic_raw!G258</f>
        <v>0</v>
      </c>
      <c r="J258">
        <f>Titanic_raw!H258</f>
        <v>0</v>
      </c>
      <c r="K258" t="str">
        <f>Titanic_raw!I258</f>
        <v>AQ/4 3130</v>
      </c>
      <c r="L258" s="26">
        <f>IF(ISBLANK(Titanic_raw!J258),$C$427,Titanic_raw!J258)</f>
        <v>7.75</v>
      </c>
      <c r="M258">
        <f>Titanic_raw!K258</f>
        <v>0</v>
      </c>
      <c r="N258" t="str">
        <f>IF(Titanic_raw!L258="S","Southampton",IF(Titanic_raw!L258="Q","Queenstown",IF(Titanic_raw!L258="C","Cherbourg")))</f>
        <v>Queenstown</v>
      </c>
    </row>
    <row r="259" spans="1:14" x14ac:dyDescent="0.2">
      <c r="A259" s="18">
        <f>Titanic_raw!A259</f>
        <v>1149</v>
      </c>
      <c r="B259" s="21">
        <f>Titanic_raw!B259</f>
        <v>0</v>
      </c>
      <c r="C259" s="21" t="str">
        <f t="shared" si="4"/>
        <v>Dead</v>
      </c>
      <c r="D259" s="21" t="str">
        <f>CONCATENATE(Titanic_raw!C259, " Class")</f>
        <v>3 Class</v>
      </c>
      <c r="E259" s="23" t="str">
        <f>INDEX(tbl_passenger[Full Name],MATCH(A259,tbl_passenger[PassengerId],0))</f>
        <v>Mr. Samuel Niklasson</v>
      </c>
      <c r="F259" t="str">
        <f>INDEX(tbl_passenger[Sex],MATCH(A259,tbl_passenger[PassengerId],0))</f>
        <v>Male</v>
      </c>
      <c r="G259" t="str">
        <f>IF(tbl_figures[Age]&lt;20, "Teens (0-19)", IF(tbl_figures[Age] &lt;40, "Youth (20-39)", IF(tbl_figures[Age]&lt;60, "Adult (40-59)", IF(tbl_figures[Age]&gt;=60, "Elders (60-Above)"))))</f>
        <v>Youth (20-39)</v>
      </c>
      <c r="H259" s="25">
        <f>IF(ISBLANK(Titanic_raw!F259),$C$423,Titanic_raw!F259)</f>
        <v>28</v>
      </c>
      <c r="I259">
        <f>Titanic_raw!G259</f>
        <v>0</v>
      </c>
      <c r="J259">
        <f>Titanic_raw!H259</f>
        <v>0</v>
      </c>
      <c r="K259">
        <f>Titanic_raw!I259</f>
        <v>363611</v>
      </c>
      <c r="L259" s="26">
        <f>IF(ISBLANK(Titanic_raw!J259),$C$427,Titanic_raw!J259)</f>
        <v>8.0500000000000007</v>
      </c>
      <c r="M259">
        <f>Titanic_raw!K259</f>
        <v>0</v>
      </c>
      <c r="N259" t="str">
        <f>IF(Titanic_raw!L259="S","Southampton",IF(Titanic_raw!L259="Q","Queenstown",IF(Titanic_raw!L259="C","Cherbourg")))</f>
        <v>Southampton</v>
      </c>
    </row>
    <row r="260" spans="1:14" x14ac:dyDescent="0.2">
      <c r="A260" s="18">
        <f>Titanic_raw!A260</f>
        <v>1150</v>
      </c>
      <c r="B260" s="17">
        <f>Titanic_raw!B260</f>
        <v>1</v>
      </c>
      <c r="C260" s="17" t="str">
        <f t="shared" si="4"/>
        <v>Survived</v>
      </c>
      <c r="D260" s="17" t="str">
        <f>CONCATENATE(Titanic_raw!C260, " Class")</f>
        <v>2 Class</v>
      </c>
      <c r="E260" s="19" t="str">
        <f>INDEX(tbl_passenger[Full Name],MATCH(A260,tbl_passenger[PassengerId],0))</f>
        <v>Miss. Lilian W Bentham</v>
      </c>
      <c r="F260" t="str">
        <f>INDEX(tbl_passenger[Sex],MATCH(A260,tbl_passenger[PassengerId],0))</f>
        <v>Female</v>
      </c>
      <c r="G260" t="str">
        <f>IF(tbl_figures[Age]&lt;20, "Teens (0-19)", IF(tbl_figures[Age] &lt;40, "Youth (20-39)", IF(tbl_figures[Age]&lt;60, "Adult (40-59)", IF(tbl_figures[Age]&gt;=60, "Elders (60-Above)"))))</f>
        <v>Teens (0-19)</v>
      </c>
      <c r="H260" s="25">
        <f>IF(ISBLANK(Titanic_raw!F260),$C$423,Titanic_raw!F260)</f>
        <v>19</v>
      </c>
      <c r="I260">
        <f>Titanic_raw!G260</f>
        <v>0</v>
      </c>
      <c r="J260">
        <f>Titanic_raw!H260</f>
        <v>0</v>
      </c>
      <c r="K260">
        <f>Titanic_raw!I260</f>
        <v>28404</v>
      </c>
      <c r="L260" s="26">
        <f>IF(ISBLANK(Titanic_raw!J260),$C$427,Titanic_raw!J260)</f>
        <v>13</v>
      </c>
      <c r="M260">
        <f>Titanic_raw!K260</f>
        <v>0</v>
      </c>
      <c r="N260" t="str">
        <f>IF(Titanic_raw!L260="S","Southampton",IF(Titanic_raw!L260="Q","Queenstown",IF(Titanic_raw!L260="C","Cherbourg")))</f>
        <v>Southampton</v>
      </c>
    </row>
    <row r="261" spans="1:14" x14ac:dyDescent="0.2">
      <c r="A261" s="18">
        <f>Titanic_raw!A261</f>
        <v>1151</v>
      </c>
      <c r="B261" s="21">
        <f>Titanic_raw!B261</f>
        <v>0</v>
      </c>
      <c r="C261" s="21" t="str">
        <f t="shared" si="4"/>
        <v>Dead</v>
      </c>
      <c r="D261" s="21" t="str">
        <f>CONCATENATE(Titanic_raw!C261, " Class")</f>
        <v>3 Class</v>
      </c>
      <c r="E261" s="23" t="str">
        <f>INDEX(tbl_passenger[Full Name],MATCH(A261,tbl_passenger[PassengerId],0))</f>
        <v>Mr. Karl Albert Midtsjo</v>
      </c>
      <c r="F261" t="str">
        <f>INDEX(tbl_passenger[Sex],MATCH(A261,tbl_passenger[PassengerId],0))</f>
        <v>Male</v>
      </c>
      <c r="G261" t="str">
        <f>IF(tbl_figures[Age]&lt;20, "Teens (0-19)", IF(tbl_figures[Age] &lt;40, "Youth (20-39)", IF(tbl_figures[Age]&lt;60, "Adult (40-59)", IF(tbl_figures[Age]&gt;=60, "Elders (60-Above)"))))</f>
        <v>Youth (20-39)</v>
      </c>
      <c r="H261" s="25">
        <f>IF(ISBLANK(Titanic_raw!F261),$C$423,Titanic_raw!F261)</f>
        <v>21</v>
      </c>
      <c r="I261">
        <f>Titanic_raw!G261</f>
        <v>0</v>
      </c>
      <c r="J261">
        <f>Titanic_raw!H261</f>
        <v>0</v>
      </c>
      <c r="K261">
        <f>Titanic_raw!I261</f>
        <v>345501</v>
      </c>
      <c r="L261" s="26">
        <f>IF(ISBLANK(Titanic_raw!J261),$C$427,Titanic_raw!J261)</f>
        <v>7.7750000000000004</v>
      </c>
      <c r="M261">
        <f>Titanic_raw!K261</f>
        <v>0</v>
      </c>
      <c r="N261" t="str">
        <f>IF(Titanic_raw!L261="S","Southampton",IF(Titanic_raw!L261="Q","Queenstown",IF(Titanic_raw!L261="C","Cherbourg")))</f>
        <v>Southampton</v>
      </c>
    </row>
    <row r="262" spans="1:14" x14ac:dyDescent="0.2">
      <c r="A262" s="18">
        <f>Titanic_raw!A262</f>
        <v>1152</v>
      </c>
      <c r="B262" s="17">
        <f>Titanic_raw!B262</f>
        <v>0</v>
      </c>
      <c r="C262" s="17" t="str">
        <f t="shared" si="4"/>
        <v>Dead</v>
      </c>
      <c r="D262" s="17" t="str">
        <f>CONCATENATE(Titanic_raw!C262, " Class")</f>
        <v>3 Class</v>
      </c>
      <c r="E262" s="19" t="str">
        <f>INDEX(tbl_passenger[Full Name],MATCH(A262,tbl_passenger[PassengerId],0))</f>
        <v>Mr. Guillaume Joseph de Messemaeker</v>
      </c>
      <c r="F262" t="str">
        <f>INDEX(tbl_passenger[Sex],MATCH(A262,tbl_passenger[PassengerId],0))</f>
        <v>Male</v>
      </c>
      <c r="G262" t="str">
        <f>IF(tbl_figures[Age]&lt;20, "Teens (0-19)", IF(tbl_figures[Age] &lt;40, "Youth (20-39)", IF(tbl_figures[Age]&lt;60, "Adult (40-59)", IF(tbl_figures[Age]&gt;=60, "Elders (60-Above)"))))</f>
        <v>Youth (20-39)</v>
      </c>
      <c r="H262" s="25">
        <f>IF(ISBLANK(Titanic_raw!F262),$C$423,Titanic_raw!F262)</f>
        <v>36.5</v>
      </c>
      <c r="I262">
        <f>Titanic_raw!G262</f>
        <v>1</v>
      </c>
      <c r="J262">
        <f>Titanic_raw!H262</f>
        <v>0</v>
      </c>
      <c r="K262">
        <f>Titanic_raw!I262</f>
        <v>345572</v>
      </c>
      <c r="L262" s="26">
        <f>IF(ISBLANK(Titanic_raw!J262),$C$427,Titanic_raw!J262)</f>
        <v>17.399999999999999</v>
      </c>
      <c r="M262">
        <f>Titanic_raw!K262</f>
        <v>0</v>
      </c>
      <c r="N262" t="str">
        <f>IF(Titanic_raw!L262="S","Southampton",IF(Titanic_raw!L262="Q","Queenstown",IF(Titanic_raw!L262="C","Cherbourg")))</f>
        <v>Southampton</v>
      </c>
    </row>
    <row r="263" spans="1:14" x14ac:dyDescent="0.2">
      <c r="A263" s="18">
        <f>Titanic_raw!A263</f>
        <v>1153</v>
      </c>
      <c r="B263" s="21">
        <f>Titanic_raw!B263</f>
        <v>0</v>
      </c>
      <c r="C263" s="21" t="str">
        <f t="shared" si="4"/>
        <v>Dead</v>
      </c>
      <c r="D263" s="21" t="str">
        <f>CONCATENATE(Titanic_raw!C263, " Class")</f>
        <v>3 Class</v>
      </c>
      <c r="E263" s="23" t="str">
        <f>INDEX(tbl_passenger[Full Name],MATCH(A263,tbl_passenger[PassengerId],0))</f>
        <v>Mr. August Ferdinand Nilsson</v>
      </c>
      <c r="F263" t="str">
        <f>INDEX(tbl_passenger[Sex],MATCH(A263,tbl_passenger[PassengerId],0))</f>
        <v>Male</v>
      </c>
      <c r="G263" t="str">
        <f>IF(tbl_figures[Age]&lt;20, "Teens (0-19)", IF(tbl_figures[Age] &lt;40, "Youth (20-39)", IF(tbl_figures[Age]&lt;60, "Adult (40-59)", IF(tbl_figures[Age]&gt;=60, "Elders (60-Above)"))))</f>
        <v>Youth (20-39)</v>
      </c>
      <c r="H263" s="25">
        <f>IF(ISBLANK(Titanic_raw!F263),$C$423,Titanic_raw!F263)</f>
        <v>21</v>
      </c>
      <c r="I263">
        <f>Titanic_raw!G263</f>
        <v>0</v>
      </c>
      <c r="J263">
        <f>Titanic_raw!H263</f>
        <v>0</v>
      </c>
      <c r="K263">
        <f>Titanic_raw!I263</f>
        <v>350410</v>
      </c>
      <c r="L263" s="26">
        <f>IF(ISBLANK(Titanic_raw!J263),$C$427,Titanic_raw!J263)</f>
        <v>7.8541999999999996</v>
      </c>
      <c r="M263">
        <f>Titanic_raw!K263</f>
        <v>0</v>
      </c>
      <c r="N263" t="str">
        <f>IF(Titanic_raw!L263="S","Southampton",IF(Titanic_raw!L263="Q","Queenstown",IF(Titanic_raw!L263="C","Cherbourg")))</f>
        <v>Southampton</v>
      </c>
    </row>
    <row r="264" spans="1:14" x14ac:dyDescent="0.2">
      <c r="A264" s="18">
        <f>Titanic_raw!A264</f>
        <v>1154</v>
      </c>
      <c r="B264" s="17">
        <f>Titanic_raw!B264</f>
        <v>1</v>
      </c>
      <c r="C264" s="17" t="str">
        <f t="shared" si="4"/>
        <v>Survived</v>
      </c>
      <c r="D264" s="17" t="str">
        <f>CONCATENATE(Titanic_raw!C264, " Class")</f>
        <v>2 Class</v>
      </c>
      <c r="E264" s="19" t="str">
        <f>INDEX(tbl_passenger[Full Name],MATCH(A264,tbl_passenger[PassengerId],0))</f>
        <v>Mrs. Arthur Henry (Addie" Dart Trevaskis)" Wells</v>
      </c>
      <c r="F264" t="str">
        <f>INDEX(tbl_passenger[Sex],MATCH(A264,tbl_passenger[PassengerId],0))</f>
        <v>Female</v>
      </c>
      <c r="G264" t="str">
        <f>IF(tbl_figures[Age]&lt;20, "Teens (0-19)", IF(tbl_figures[Age] &lt;40, "Youth (20-39)", IF(tbl_figures[Age]&lt;60, "Adult (40-59)", IF(tbl_figures[Age]&gt;=60, "Elders (60-Above)"))))</f>
        <v>Youth (20-39)</v>
      </c>
      <c r="H264" s="25">
        <f>IF(ISBLANK(Titanic_raw!F264),$C$423,Titanic_raw!F264)</f>
        <v>29</v>
      </c>
      <c r="I264">
        <f>Titanic_raw!G264</f>
        <v>0</v>
      </c>
      <c r="J264">
        <f>Titanic_raw!H264</f>
        <v>2</v>
      </c>
      <c r="K264">
        <f>Titanic_raw!I264</f>
        <v>29103</v>
      </c>
      <c r="L264" s="26">
        <f>IF(ISBLANK(Titanic_raw!J264),$C$427,Titanic_raw!J264)</f>
        <v>23</v>
      </c>
      <c r="M264">
        <f>Titanic_raw!K264</f>
        <v>0</v>
      </c>
      <c r="N264" t="str">
        <f>IF(Titanic_raw!L264="S","Southampton",IF(Titanic_raw!L264="Q","Queenstown",IF(Titanic_raw!L264="C","Cherbourg")))</f>
        <v>Southampton</v>
      </c>
    </row>
    <row r="265" spans="1:14" x14ac:dyDescent="0.2">
      <c r="A265" s="18">
        <f>Titanic_raw!A265</f>
        <v>1155</v>
      </c>
      <c r="B265" s="21">
        <f>Titanic_raw!B265</f>
        <v>1</v>
      </c>
      <c r="C265" s="21" t="str">
        <f t="shared" si="4"/>
        <v>Survived</v>
      </c>
      <c r="D265" s="21" t="str">
        <f>CONCATENATE(Titanic_raw!C265, " Class")</f>
        <v>3 Class</v>
      </c>
      <c r="E265" s="23" t="str">
        <f>INDEX(tbl_passenger[Full Name],MATCH(A265,tbl_passenger[PassengerId],0))</f>
        <v>Miss. Gertrud Emilia Klasen</v>
      </c>
      <c r="F265" t="str">
        <f>INDEX(tbl_passenger[Sex],MATCH(A265,tbl_passenger[PassengerId],0))</f>
        <v>Female</v>
      </c>
      <c r="G265" t="str">
        <f>IF(tbl_figures[Age]&lt;20, "Teens (0-19)", IF(tbl_figures[Age] &lt;40, "Youth (20-39)", IF(tbl_figures[Age]&lt;60, "Adult (40-59)", IF(tbl_figures[Age]&gt;=60, "Elders (60-Above)"))))</f>
        <v>Teens (0-19)</v>
      </c>
      <c r="H265" s="25">
        <f>IF(ISBLANK(Titanic_raw!F265),$C$423,Titanic_raw!F265)</f>
        <v>1</v>
      </c>
      <c r="I265">
        <f>Titanic_raw!G265</f>
        <v>1</v>
      </c>
      <c r="J265">
        <f>Titanic_raw!H265</f>
        <v>1</v>
      </c>
      <c r="K265">
        <f>Titanic_raw!I265</f>
        <v>350405</v>
      </c>
      <c r="L265" s="26">
        <f>IF(ISBLANK(Titanic_raw!J265),$C$427,Titanic_raw!J265)</f>
        <v>12.183299999999999</v>
      </c>
      <c r="M265">
        <f>Titanic_raw!K265</f>
        <v>0</v>
      </c>
      <c r="N265" t="str">
        <f>IF(Titanic_raw!L265="S","Southampton",IF(Titanic_raw!L265="Q","Queenstown",IF(Titanic_raw!L265="C","Cherbourg")))</f>
        <v>Southampton</v>
      </c>
    </row>
    <row r="266" spans="1:14" x14ac:dyDescent="0.2">
      <c r="A266" s="18">
        <f>Titanic_raw!A266</f>
        <v>1156</v>
      </c>
      <c r="B266" s="17">
        <f>Titanic_raw!B266</f>
        <v>0</v>
      </c>
      <c r="C266" s="17" t="str">
        <f t="shared" si="4"/>
        <v>Dead</v>
      </c>
      <c r="D266" s="17" t="str">
        <f>CONCATENATE(Titanic_raw!C266, " Class")</f>
        <v>2 Class</v>
      </c>
      <c r="E266" s="19" t="str">
        <f>INDEX(tbl_passenger[Full Name],MATCH(A266,tbl_passenger[PassengerId],0))</f>
        <v>Mr. Emilio Ilario Giuseppe Portaluppi</v>
      </c>
      <c r="F266" t="str">
        <f>INDEX(tbl_passenger[Sex],MATCH(A266,tbl_passenger[PassengerId],0))</f>
        <v>Male</v>
      </c>
      <c r="G266" t="str">
        <f>IF(tbl_figures[Age]&lt;20, "Teens (0-19)", IF(tbl_figures[Age] &lt;40, "Youth (20-39)", IF(tbl_figures[Age]&lt;60, "Adult (40-59)", IF(tbl_figures[Age]&gt;=60, "Elders (60-Above)"))))</f>
        <v>Youth (20-39)</v>
      </c>
      <c r="H266" s="25">
        <f>IF(ISBLANK(Titanic_raw!F266),$C$423,Titanic_raw!F266)</f>
        <v>30</v>
      </c>
      <c r="I266">
        <f>Titanic_raw!G266</f>
        <v>0</v>
      </c>
      <c r="J266">
        <f>Titanic_raw!H266</f>
        <v>0</v>
      </c>
      <c r="K266" t="str">
        <f>Titanic_raw!I266</f>
        <v>C.A. 34644</v>
      </c>
      <c r="L266" s="26">
        <f>IF(ISBLANK(Titanic_raw!J266),$C$427,Titanic_raw!J266)</f>
        <v>12.737500000000001</v>
      </c>
      <c r="M266">
        <f>Titanic_raw!K266</f>
        <v>0</v>
      </c>
      <c r="N266" t="str">
        <f>IF(Titanic_raw!L266="S","Southampton",IF(Titanic_raw!L266="Q","Queenstown",IF(Titanic_raw!L266="C","Cherbourg")))</f>
        <v>Cherbourg</v>
      </c>
    </row>
    <row r="267" spans="1:14" x14ac:dyDescent="0.2">
      <c r="A267" s="18">
        <f>Titanic_raw!A267</f>
        <v>1157</v>
      </c>
      <c r="B267" s="21">
        <f>Titanic_raw!B267</f>
        <v>0</v>
      </c>
      <c r="C267" s="21" t="str">
        <f t="shared" si="4"/>
        <v>Dead</v>
      </c>
      <c r="D267" s="21" t="str">
        <f>CONCATENATE(Titanic_raw!C267, " Class")</f>
        <v>3 Class</v>
      </c>
      <c r="E267" s="23" t="str">
        <f>INDEX(tbl_passenger[Full Name],MATCH(A267,tbl_passenger[PassengerId],0))</f>
        <v>Mr. Stanko Lyntakoff</v>
      </c>
      <c r="F267" t="str">
        <f>INDEX(tbl_passenger[Sex],MATCH(A267,tbl_passenger[PassengerId],0))</f>
        <v>Male</v>
      </c>
      <c r="G267" t="str">
        <f>IF(tbl_figures[Age]&lt;20, "Teens (0-19)", IF(tbl_figures[Age] &lt;40, "Youth (20-39)", IF(tbl_figures[Age]&lt;60, "Adult (40-59)", IF(tbl_figures[Age]&gt;=60, "Elders (60-Above)"))))</f>
        <v>Youth (20-39)</v>
      </c>
      <c r="H267" s="25">
        <f>IF(ISBLANK(Titanic_raw!F267),$C$423,Titanic_raw!F267)</f>
        <v>30.272590325616491</v>
      </c>
      <c r="I267">
        <f>Titanic_raw!G267</f>
        <v>0</v>
      </c>
      <c r="J267">
        <f>Titanic_raw!H267</f>
        <v>0</v>
      </c>
      <c r="K267">
        <f>Titanic_raw!I267</f>
        <v>349235</v>
      </c>
      <c r="L267" s="26">
        <f>IF(ISBLANK(Titanic_raw!J267),$C$427,Titanic_raw!J267)</f>
        <v>7.8958000000000004</v>
      </c>
      <c r="M267">
        <f>Titanic_raw!K267</f>
        <v>0</v>
      </c>
      <c r="N267" t="str">
        <f>IF(Titanic_raw!L267="S","Southampton",IF(Titanic_raw!L267="Q","Queenstown",IF(Titanic_raw!L267="C","Cherbourg")))</f>
        <v>Southampton</v>
      </c>
    </row>
    <row r="268" spans="1:14" x14ac:dyDescent="0.2">
      <c r="A268" s="18">
        <f>Titanic_raw!A268</f>
        <v>1158</v>
      </c>
      <c r="B268" s="17">
        <f>Titanic_raw!B268</f>
        <v>0</v>
      </c>
      <c r="C268" s="17" t="str">
        <f t="shared" si="4"/>
        <v>Dead</v>
      </c>
      <c r="D268" s="17" t="str">
        <f>CONCATENATE(Titanic_raw!C268, " Class")</f>
        <v>1 Class</v>
      </c>
      <c r="E268" s="19" t="str">
        <f>INDEX(tbl_passenger[Full Name],MATCH(A268,tbl_passenger[PassengerId],0))</f>
        <v>Mr. Roderick Robert Crispin Chisholm</v>
      </c>
      <c r="F268" t="str">
        <f>INDEX(tbl_passenger[Sex],MATCH(A268,tbl_passenger[PassengerId],0))</f>
        <v>Male</v>
      </c>
      <c r="G268" t="str">
        <f>IF(tbl_figures[Age]&lt;20, "Teens (0-19)", IF(tbl_figures[Age] &lt;40, "Youth (20-39)", IF(tbl_figures[Age]&lt;60, "Adult (40-59)", IF(tbl_figures[Age]&gt;=60, "Elders (60-Above)"))))</f>
        <v>Youth (20-39)</v>
      </c>
      <c r="H268" s="25">
        <f>IF(ISBLANK(Titanic_raw!F268),$C$423,Titanic_raw!F268)</f>
        <v>30.272590325616491</v>
      </c>
      <c r="I268">
        <f>Titanic_raw!G268</f>
        <v>0</v>
      </c>
      <c r="J268">
        <f>Titanic_raw!H268</f>
        <v>0</v>
      </c>
      <c r="K268">
        <f>Titanic_raw!I268</f>
        <v>112051</v>
      </c>
      <c r="L268" s="26">
        <f>IF(ISBLANK(Titanic_raw!J268),$C$427,Titanic_raw!J268)</f>
        <v>0</v>
      </c>
      <c r="M268">
        <f>Titanic_raw!K268</f>
        <v>0</v>
      </c>
      <c r="N268" t="str">
        <f>IF(Titanic_raw!L268="S","Southampton",IF(Titanic_raw!L268="Q","Queenstown",IF(Titanic_raw!L268="C","Cherbourg")))</f>
        <v>Southampton</v>
      </c>
    </row>
    <row r="269" spans="1:14" x14ac:dyDescent="0.2">
      <c r="A269" s="18">
        <f>Titanic_raw!A269</f>
        <v>1159</v>
      </c>
      <c r="B269" s="21">
        <f>Titanic_raw!B269</f>
        <v>0</v>
      </c>
      <c r="C269" s="21" t="str">
        <f t="shared" si="4"/>
        <v>Dead</v>
      </c>
      <c r="D269" s="21" t="str">
        <f>CONCATENATE(Titanic_raw!C269, " Class")</f>
        <v>3 Class</v>
      </c>
      <c r="E269" s="23" t="str">
        <f>INDEX(tbl_passenger[Full Name],MATCH(A269,tbl_passenger[PassengerId],0))</f>
        <v>Mr. Charles William Warren</v>
      </c>
      <c r="F269" t="str">
        <f>INDEX(tbl_passenger[Sex],MATCH(A269,tbl_passenger[PassengerId],0))</f>
        <v>Male</v>
      </c>
      <c r="G269" t="str">
        <f>IF(tbl_figures[Age]&lt;20, "Teens (0-19)", IF(tbl_figures[Age] &lt;40, "Youth (20-39)", IF(tbl_figures[Age]&lt;60, "Adult (40-59)", IF(tbl_figures[Age]&gt;=60, "Elders (60-Above)"))))</f>
        <v>Youth (20-39)</v>
      </c>
      <c r="H269" s="25">
        <f>IF(ISBLANK(Titanic_raw!F269),$C$423,Titanic_raw!F269)</f>
        <v>30.272590325616491</v>
      </c>
      <c r="I269">
        <f>Titanic_raw!G269</f>
        <v>0</v>
      </c>
      <c r="J269">
        <f>Titanic_raw!H269</f>
        <v>0</v>
      </c>
      <c r="K269" t="str">
        <f>Titanic_raw!I269</f>
        <v>C.A. 49867</v>
      </c>
      <c r="L269" s="26">
        <f>IF(ISBLANK(Titanic_raw!J269),$C$427,Titanic_raw!J269)</f>
        <v>7.55</v>
      </c>
      <c r="M269">
        <f>Titanic_raw!K269</f>
        <v>0</v>
      </c>
      <c r="N269" t="str">
        <f>IF(Titanic_raw!L269="S","Southampton",IF(Titanic_raw!L269="Q","Queenstown",IF(Titanic_raw!L269="C","Cherbourg")))</f>
        <v>Southampton</v>
      </c>
    </row>
    <row r="270" spans="1:14" x14ac:dyDescent="0.2">
      <c r="A270" s="18">
        <f>Titanic_raw!A270</f>
        <v>1160</v>
      </c>
      <c r="B270" s="17">
        <f>Titanic_raw!B270</f>
        <v>1</v>
      </c>
      <c r="C270" s="17" t="str">
        <f t="shared" si="4"/>
        <v>Survived</v>
      </c>
      <c r="D270" s="17" t="str">
        <f>CONCATENATE(Titanic_raw!C270, " Class")</f>
        <v>3 Class</v>
      </c>
      <c r="E270" s="19" t="str">
        <f>INDEX(tbl_passenger[Full Name],MATCH(A270,tbl_passenger[PassengerId],0))</f>
        <v>Miss. May Elizabeth Howard</v>
      </c>
      <c r="F270" t="str">
        <f>INDEX(tbl_passenger[Sex],MATCH(A270,tbl_passenger[PassengerId],0))</f>
        <v>Female</v>
      </c>
      <c r="G270" t="str">
        <f>IF(tbl_figures[Age]&lt;20, "Teens (0-19)", IF(tbl_figures[Age] &lt;40, "Youth (20-39)", IF(tbl_figures[Age]&lt;60, "Adult (40-59)", IF(tbl_figures[Age]&gt;=60, "Elders (60-Above)"))))</f>
        <v>Youth (20-39)</v>
      </c>
      <c r="H270" s="25">
        <f>IF(ISBLANK(Titanic_raw!F270),$C$423,Titanic_raw!F270)</f>
        <v>30.272590325616491</v>
      </c>
      <c r="I270">
        <f>Titanic_raw!G270</f>
        <v>0</v>
      </c>
      <c r="J270">
        <f>Titanic_raw!H270</f>
        <v>0</v>
      </c>
      <c r="K270" t="str">
        <f>Titanic_raw!I270</f>
        <v>A. 2. 39186</v>
      </c>
      <c r="L270" s="26">
        <f>IF(ISBLANK(Titanic_raw!J270),$C$427,Titanic_raw!J270)</f>
        <v>8.0500000000000007</v>
      </c>
      <c r="M270">
        <f>Titanic_raw!K270</f>
        <v>0</v>
      </c>
      <c r="N270" t="str">
        <f>IF(Titanic_raw!L270="S","Southampton",IF(Titanic_raw!L270="Q","Queenstown",IF(Titanic_raw!L270="C","Cherbourg")))</f>
        <v>Southampton</v>
      </c>
    </row>
    <row r="271" spans="1:14" x14ac:dyDescent="0.2">
      <c r="A271" s="18">
        <f>Titanic_raw!A271</f>
        <v>1161</v>
      </c>
      <c r="B271" s="21">
        <f>Titanic_raw!B271</f>
        <v>0</v>
      </c>
      <c r="C271" s="21" t="str">
        <f t="shared" si="4"/>
        <v>Dead</v>
      </c>
      <c r="D271" s="21" t="str">
        <f>CONCATENATE(Titanic_raw!C271, " Class")</f>
        <v>3 Class</v>
      </c>
      <c r="E271" s="23" t="str">
        <f>INDEX(tbl_passenger[Full Name],MATCH(A271,tbl_passenger[PassengerId],0))</f>
        <v>Mr. Mate Pokrnic</v>
      </c>
      <c r="F271" t="str">
        <f>INDEX(tbl_passenger[Sex],MATCH(A271,tbl_passenger[PassengerId],0))</f>
        <v>Male</v>
      </c>
      <c r="G271" t="str">
        <f>IF(tbl_figures[Age]&lt;20, "Teens (0-19)", IF(tbl_figures[Age] &lt;40, "Youth (20-39)", IF(tbl_figures[Age]&lt;60, "Adult (40-59)", IF(tbl_figures[Age]&gt;=60, "Elders (60-Above)"))))</f>
        <v>Teens (0-19)</v>
      </c>
      <c r="H271" s="25">
        <f>IF(ISBLANK(Titanic_raw!F271),$C$423,Titanic_raw!F271)</f>
        <v>17</v>
      </c>
      <c r="I271">
        <f>Titanic_raw!G271</f>
        <v>0</v>
      </c>
      <c r="J271">
        <f>Titanic_raw!H271</f>
        <v>0</v>
      </c>
      <c r="K271">
        <f>Titanic_raw!I271</f>
        <v>315095</v>
      </c>
      <c r="L271" s="26">
        <f>IF(ISBLANK(Titanic_raw!J271),$C$427,Titanic_raw!J271)</f>
        <v>8.6624999999999996</v>
      </c>
      <c r="M271">
        <f>Titanic_raw!K271</f>
        <v>0</v>
      </c>
      <c r="N271" t="str">
        <f>IF(Titanic_raw!L271="S","Southampton",IF(Titanic_raw!L271="Q","Queenstown",IF(Titanic_raw!L271="C","Cherbourg")))</f>
        <v>Southampton</v>
      </c>
    </row>
    <row r="272" spans="1:14" x14ac:dyDescent="0.2">
      <c r="A272" s="18">
        <f>Titanic_raw!A272</f>
        <v>1162</v>
      </c>
      <c r="B272" s="17">
        <f>Titanic_raw!B272</f>
        <v>0</v>
      </c>
      <c r="C272" s="17" t="str">
        <f t="shared" si="4"/>
        <v>Dead</v>
      </c>
      <c r="D272" s="17" t="str">
        <f>CONCATENATE(Titanic_raw!C272, " Class")</f>
        <v>1 Class</v>
      </c>
      <c r="E272" s="19" t="str">
        <f>INDEX(tbl_passenger[Full Name],MATCH(A272,tbl_passenger[PassengerId],0))</f>
        <v>Mr. Thomas Francis McCaffry</v>
      </c>
      <c r="F272" t="str">
        <f>INDEX(tbl_passenger[Sex],MATCH(A272,tbl_passenger[PassengerId],0))</f>
        <v>Male</v>
      </c>
      <c r="G272" t="str">
        <f>IF(tbl_figures[Age]&lt;20, "Teens (0-19)", IF(tbl_figures[Age] &lt;40, "Youth (20-39)", IF(tbl_figures[Age]&lt;60, "Adult (40-59)", IF(tbl_figures[Age]&gt;=60, "Elders (60-Above)"))))</f>
        <v>Adult (40-59)</v>
      </c>
      <c r="H272" s="25">
        <f>IF(ISBLANK(Titanic_raw!F272),$C$423,Titanic_raw!F272)</f>
        <v>46</v>
      </c>
      <c r="I272">
        <f>Titanic_raw!G272</f>
        <v>0</v>
      </c>
      <c r="J272">
        <f>Titanic_raw!H272</f>
        <v>0</v>
      </c>
      <c r="K272">
        <f>Titanic_raw!I272</f>
        <v>13050</v>
      </c>
      <c r="L272" s="26">
        <f>IF(ISBLANK(Titanic_raw!J272),$C$427,Titanic_raw!J272)</f>
        <v>75.241699999999994</v>
      </c>
      <c r="M272" t="str">
        <f>Titanic_raw!K272</f>
        <v>C6</v>
      </c>
      <c r="N272" t="str">
        <f>IF(Titanic_raw!L272="S","Southampton",IF(Titanic_raw!L272="Q","Queenstown",IF(Titanic_raw!L272="C","Cherbourg")))</f>
        <v>Cherbourg</v>
      </c>
    </row>
    <row r="273" spans="1:14" x14ac:dyDescent="0.2">
      <c r="A273" s="18">
        <f>Titanic_raw!A273</f>
        <v>1163</v>
      </c>
      <c r="B273" s="21">
        <f>Titanic_raw!B273</f>
        <v>0</v>
      </c>
      <c r="C273" s="21" t="str">
        <f t="shared" si="4"/>
        <v>Dead</v>
      </c>
      <c r="D273" s="21" t="str">
        <f>CONCATENATE(Titanic_raw!C273, " Class")</f>
        <v>3 Class</v>
      </c>
      <c r="E273" s="23" t="str">
        <f>INDEX(tbl_passenger[Full Name],MATCH(A273,tbl_passenger[PassengerId],0))</f>
        <v>Mr. Patrick Fox</v>
      </c>
      <c r="F273" t="str">
        <f>INDEX(tbl_passenger[Sex],MATCH(A273,tbl_passenger[PassengerId],0))</f>
        <v>Male</v>
      </c>
      <c r="G273" t="str">
        <f>IF(tbl_figures[Age]&lt;20, "Teens (0-19)", IF(tbl_figures[Age] &lt;40, "Youth (20-39)", IF(tbl_figures[Age]&lt;60, "Adult (40-59)", IF(tbl_figures[Age]&gt;=60, "Elders (60-Above)"))))</f>
        <v>Youth (20-39)</v>
      </c>
      <c r="H273" s="25">
        <f>IF(ISBLANK(Titanic_raw!F273),$C$423,Titanic_raw!F273)</f>
        <v>30.272590325616491</v>
      </c>
      <c r="I273">
        <f>Titanic_raw!G273</f>
        <v>0</v>
      </c>
      <c r="J273">
        <f>Titanic_raw!H273</f>
        <v>0</v>
      </c>
      <c r="K273">
        <f>Titanic_raw!I273</f>
        <v>368573</v>
      </c>
      <c r="L273" s="26">
        <f>IF(ISBLANK(Titanic_raw!J273),$C$427,Titanic_raw!J273)</f>
        <v>7.75</v>
      </c>
      <c r="M273">
        <f>Titanic_raw!K273</f>
        <v>0</v>
      </c>
      <c r="N273" t="str">
        <f>IF(Titanic_raw!L273="S","Southampton",IF(Titanic_raw!L273="Q","Queenstown",IF(Titanic_raw!L273="C","Cherbourg")))</f>
        <v>Queenstown</v>
      </c>
    </row>
    <row r="274" spans="1:14" x14ac:dyDescent="0.2">
      <c r="A274" s="18">
        <f>Titanic_raw!A274</f>
        <v>1164</v>
      </c>
      <c r="B274" s="17">
        <f>Titanic_raw!B274</f>
        <v>1</v>
      </c>
      <c r="C274" s="17" t="str">
        <f t="shared" si="4"/>
        <v>Survived</v>
      </c>
      <c r="D274" s="17" t="str">
        <f>CONCATENATE(Titanic_raw!C274, " Class")</f>
        <v>1 Class</v>
      </c>
      <c r="E274" s="19" t="str">
        <f>INDEX(tbl_passenger[Full Name],MATCH(A274,tbl_passenger[PassengerId],0))</f>
        <v>Mrs. Walter Miller (Virginia McDowell) Clark</v>
      </c>
      <c r="F274" t="str">
        <f>INDEX(tbl_passenger[Sex],MATCH(A274,tbl_passenger[PassengerId],0))</f>
        <v>Female</v>
      </c>
      <c r="G274" t="str">
        <f>IF(tbl_figures[Age]&lt;20, "Teens (0-19)", IF(tbl_figures[Age] &lt;40, "Youth (20-39)", IF(tbl_figures[Age]&lt;60, "Adult (40-59)", IF(tbl_figures[Age]&gt;=60, "Elders (60-Above)"))))</f>
        <v>Youth (20-39)</v>
      </c>
      <c r="H274" s="25">
        <f>IF(ISBLANK(Titanic_raw!F274),$C$423,Titanic_raw!F274)</f>
        <v>26</v>
      </c>
      <c r="I274">
        <f>Titanic_raw!G274</f>
        <v>1</v>
      </c>
      <c r="J274">
        <f>Titanic_raw!H274</f>
        <v>0</v>
      </c>
      <c r="K274">
        <f>Titanic_raw!I274</f>
        <v>13508</v>
      </c>
      <c r="L274" s="26">
        <f>IF(ISBLANK(Titanic_raw!J274),$C$427,Titanic_raw!J274)</f>
        <v>136.7792</v>
      </c>
      <c r="M274" t="str">
        <f>Titanic_raw!K274</f>
        <v>C89</v>
      </c>
      <c r="N274" t="str">
        <f>IF(Titanic_raw!L274="S","Southampton",IF(Titanic_raw!L274="Q","Queenstown",IF(Titanic_raw!L274="C","Cherbourg")))</f>
        <v>Cherbourg</v>
      </c>
    </row>
    <row r="275" spans="1:14" x14ac:dyDescent="0.2">
      <c r="A275" s="18">
        <f>Titanic_raw!A275</f>
        <v>1165</v>
      </c>
      <c r="B275" s="21">
        <f>Titanic_raw!B275</f>
        <v>1</v>
      </c>
      <c r="C275" s="21" t="str">
        <f t="shared" si="4"/>
        <v>Survived</v>
      </c>
      <c r="D275" s="21" t="str">
        <f>CONCATENATE(Titanic_raw!C275, " Class")</f>
        <v>3 Class</v>
      </c>
      <c r="E275" s="23" t="str">
        <f>INDEX(tbl_passenger[Full Name],MATCH(A275,tbl_passenger[PassengerId],0))</f>
        <v>Miss. Mary Lennon</v>
      </c>
      <c r="F275" t="str">
        <f>INDEX(tbl_passenger[Sex],MATCH(A275,tbl_passenger[PassengerId],0))</f>
        <v>Female</v>
      </c>
      <c r="G275" t="str">
        <f>IF(tbl_figures[Age]&lt;20, "Teens (0-19)", IF(tbl_figures[Age] &lt;40, "Youth (20-39)", IF(tbl_figures[Age]&lt;60, "Adult (40-59)", IF(tbl_figures[Age]&gt;=60, "Elders (60-Above)"))))</f>
        <v>Youth (20-39)</v>
      </c>
      <c r="H275" s="25">
        <f>IF(ISBLANK(Titanic_raw!F275),$C$423,Titanic_raw!F275)</f>
        <v>30.272590325616491</v>
      </c>
      <c r="I275">
        <f>Titanic_raw!G275</f>
        <v>1</v>
      </c>
      <c r="J275">
        <f>Titanic_raw!H275</f>
        <v>0</v>
      </c>
      <c r="K275">
        <f>Titanic_raw!I275</f>
        <v>370371</v>
      </c>
      <c r="L275" s="26">
        <f>IF(ISBLANK(Titanic_raw!J275),$C$427,Titanic_raw!J275)</f>
        <v>15.5</v>
      </c>
      <c r="M275">
        <f>Titanic_raw!K275</f>
        <v>0</v>
      </c>
      <c r="N275" t="str">
        <f>IF(Titanic_raw!L275="S","Southampton",IF(Titanic_raw!L275="Q","Queenstown",IF(Titanic_raw!L275="C","Cherbourg")))</f>
        <v>Queenstown</v>
      </c>
    </row>
    <row r="276" spans="1:14" x14ac:dyDescent="0.2">
      <c r="A276" s="18">
        <f>Titanic_raw!A276</f>
        <v>1166</v>
      </c>
      <c r="B276" s="17">
        <f>Titanic_raw!B276</f>
        <v>0</v>
      </c>
      <c r="C276" s="17" t="str">
        <f t="shared" si="4"/>
        <v>Dead</v>
      </c>
      <c r="D276" s="17" t="str">
        <f>CONCATENATE(Titanic_raw!C276, " Class")</f>
        <v>3 Class</v>
      </c>
      <c r="E276" s="19" t="str">
        <f>INDEX(tbl_passenger[Full Name],MATCH(A276,tbl_passenger[PassengerId],0))</f>
        <v>Mr. Jean Nassr Saade</v>
      </c>
      <c r="F276" t="str">
        <f>INDEX(tbl_passenger[Sex],MATCH(A276,tbl_passenger[PassengerId],0))</f>
        <v>Male</v>
      </c>
      <c r="G276" t="str">
        <f>IF(tbl_figures[Age]&lt;20, "Teens (0-19)", IF(tbl_figures[Age] &lt;40, "Youth (20-39)", IF(tbl_figures[Age]&lt;60, "Adult (40-59)", IF(tbl_figures[Age]&gt;=60, "Elders (60-Above)"))))</f>
        <v>Youth (20-39)</v>
      </c>
      <c r="H276" s="25">
        <f>IF(ISBLANK(Titanic_raw!F276),$C$423,Titanic_raw!F276)</f>
        <v>30.272590325616491</v>
      </c>
      <c r="I276">
        <f>Titanic_raw!G276</f>
        <v>0</v>
      </c>
      <c r="J276">
        <f>Titanic_raw!H276</f>
        <v>0</v>
      </c>
      <c r="K276">
        <f>Titanic_raw!I276</f>
        <v>2676</v>
      </c>
      <c r="L276" s="26">
        <f>IF(ISBLANK(Titanic_raw!J276),$C$427,Titanic_raw!J276)</f>
        <v>7.2249999999999996</v>
      </c>
      <c r="M276">
        <f>Titanic_raw!K276</f>
        <v>0</v>
      </c>
      <c r="N276" t="str">
        <f>IF(Titanic_raw!L276="S","Southampton",IF(Titanic_raw!L276="Q","Queenstown",IF(Titanic_raw!L276="C","Cherbourg")))</f>
        <v>Cherbourg</v>
      </c>
    </row>
    <row r="277" spans="1:14" x14ac:dyDescent="0.2">
      <c r="A277" s="18">
        <f>Titanic_raw!A277</f>
        <v>1167</v>
      </c>
      <c r="B277" s="21">
        <f>Titanic_raw!B277</f>
        <v>1</v>
      </c>
      <c r="C277" s="21" t="str">
        <f t="shared" si="4"/>
        <v>Survived</v>
      </c>
      <c r="D277" s="21" t="str">
        <f>CONCATENATE(Titanic_raw!C277, " Class")</f>
        <v>2 Class</v>
      </c>
      <c r="E277" s="23" t="str">
        <f>INDEX(tbl_passenger[Full Name],MATCH(A277,tbl_passenger[PassengerId],0))</f>
        <v>Miss. Dagmar Jenny Ingeborg  Bryhl</v>
      </c>
      <c r="F277" t="str">
        <f>INDEX(tbl_passenger[Sex],MATCH(A277,tbl_passenger[PassengerId],0))</f>
        <v>Female</v>
      </c>
      <c r="G277" t="str">
        <f>IF(tbl_figures[Age]&lt;20, "Teens (0-19)", IF(tbl_figures[Age] &lt;40, "Youth (20-39)", IF(tbl_figures[Age]&lt;60, "Adult (40-59)", IF(tbl_figures[Age]&gt;=60, "Elders (60-Above)"))))</f>
        <v>Youth (20-39)</v>
      </c>
      <c r="H277" s="25">
        <f>IF(ISBLANK(Titanic_raw!F277),$C$423,Titanic_raw!F277)</f>
        <v>20</v>
      </c>
      <c r="I277">
        <f>Titanic_raw!G277</f>
        <v>1</v>
      </c>
      <c r="J277">
        <f>Titanic_raw!H277</f>
        <v>0</v>
      </c>
      <c r="K277">
        <f>Titanic_raw!I277</f>
        <v>236853</v>
      </c>
      <c r="L277" s="26">
        <f>IF(ISBLANK(Titanic_raw!J277),$C$427,Titanic_raw!J277)</f>
        <v>26</v>
      </c>
      <c r="M277">
        <f>Titanic_raw!K277</f>
        <v>0</v>
      </c>
      <c r="N277" t="str">
        <f>IF(Titanic_raw!L277="S","Southampton",IF(Titanic_raw!L277="Q","Queenstown",IF(Titanic_raw!L277="C","Cherbourg")))</f>
        <v>Southampton</v>
      </c>
    </row>
    <row r="278" spans="1:14" x14ac:dyDescent="0.2">
      <c r="A278" s="18">
        <f>Titanic_raw!A278</f>
        <v>1168</v>
      </c>
      <c r="B278" s="17">
        <f>Titanic_raw!B278</f>
        <v>0</v>
      </c>
      <c r="C278" s="17" t="str">
        <f t="shared" si="4"/>
        <v>Dead</v>
      </c>
      <c r="D278" s="17" t="str">
        <f>CONCATENATE(Titanic_raw!C278, " Class")</f>
        <v>2 Class</v>
      </c>
      <c r="E278" s="19" t="str">
        <f>INDEX(tbl_passenger[Full Name],MATCH(A278,tbl_passenger[PassengerId],0))</f>
        <v>Mr. Clifford Richard Parker</v>
      </c>
      <c r="F278" t="str">
        <f>INDEX(tbl_passenger[Sex],MATCH(A278,tbl_passenger[PassengerId],0))</f>
        <v>Male</v>
      </c>
      <c r="G278" t="str">
        <f>IF(tbl_figures[Age]&lt;20, "Teens (0-19)", IF(tbl_figures[Age] &lt;40, "Youth (20-39)", IF(tbl_figures[Age]&lt;60, "Adult (40-59)", IF(tbl_figures[Age]&gt;=60, "Elders (60-Above)"))))</f>
        <v>Youth (20-39)</v>
      </c>
      <c r="H278" s="25">
        <f>IF(ISBLANK(Titanic_raw!F278),$C$423,Titanic_raw!F278)</f>
        <v>28</v>
      </c>
      <c r="I278">
        <f>Titanic_raw!G278</f>
        <v>0</v>
      </c>
      <c r="J278">
        <f>Titanic_raw!H278</f>
        <v>0</v>
      </c>
      <c r="K278" t="str">
        <f>Titanic_raw!I278</f>
        <v>SC 14888</v>
      </c>
      <c r="L278" s="26">
        <f>IF(ISBLANK(Titanic_raw!J278),$C$427,Titanic_raw!J278)</f>
        <v>10.5</v>
      </c>
      <c r="M278">
        <f>Titanic_raw!K278</f>
        <v>0</v>
      </c>
      <c r="N278" t="str">
        <f>IF(Titanic_raw!L278="S","Southampton",IF(Titanic_raw!L278="Q","Queenstown",IF(Titanic_raw!L278="C","Cherbourg")))</f>
        <v>Southampton</v>
      </c>
    </row>
    <row r="279" spans="1:14" x14ac:dyDescent="0.2">
      <c r="A279" s="18">
        <f>Titanic_raw!A279</f>
        <v>1169</v>
      </c>
      <c r="B279" s="21">
        <f>Titanic_raw!B279</f>
        <v>0</v>
      </c>
      <c r="C279" s="21" t="str">
        <f t="shared" si="4"/>
        <v>Dead</v>
      </c>
      <c r="D279" s="21" t="str">
        <f>CONCATENATE(Titanic_raw!C279, " Class")</f>
        <v>2 Class</v>
      </c>
      <c r="E279" s="23" t="str">
        <f>INDEX(tbl_passenger[Full Name],MATCH(A279,tbl_passenger[PassengerId],0))</f>
        <v>Mr. Harry Faunthorpe</v>
      </c>
      <c r="F279" t="str">
        <f>INDEX(tbl_passenger[Sex],MATCH(A279,tbl_passenger[PassengerId],0))</f>
        <v>Male</v>
      </c>
      <c r="G279" t="str">
        <f>IF(tbl_figures[Age]&lt;20, "Teens (0-19)", IF(tbl_figures[Age] &lt;40, "Youth (20-39)", IF(tbl_figures[Age]&lt;60, "Adult (40-59)", IF(tbl_figures[Age]&gt;=60, "Elders (60-Above)"))))</f>
        <v>Adult (40-59)</v>
      </c>
      <c r="H279" s="25">
        <f>IF(ISBLANK(Titanic_raw!F279),$C$423,Titanic_raw!F279)</f>
        <v>40</v>
      </c>
      <c r="I279">
        <f>Titanic_raw!G279</f>
        <v>1</v>
      </c>
      <c r="J279">
        <f>Titanic_raw!H279</f>
        <v>0</v>
      </c>
      <c r="K279">
        <f>Titanic_raw!I279</f>
        <v>2926</v>
      </c>
      <c r="L279" s="26">
        <f>IF(ISBLANK(Titanic_raw!J279),$C$427,Titanic_raw!J279)</f>
        <v>26</v>
      </c>
      <c r="M279">
        <f>Titanic_raw!K279</f>
        <v>0</v>
      </c>
      <c r="N279" t="str">
        <f>IF(Titanic_raw!L279="S","Southampton",IF(Titanic_raw!L279="Q","Queenstown",IF(Titanic_raw!L279="C","Cherbourg")))</f>
        <v>Southampton</v>
      </c>
    </row>
    <row r="280" spans="1:14" x14ac:dyDescent="0.2">
      <c r="A280" s="18">
        <f>Titanic_raw!A280</f>
        <v>1170</v>
      </c>
      <c r="B280" s="17">
        <f>Titanic_raw!B280</f>
        <v>0</v>
      </c>
      <c r="C280" s="17" t="str">
        <f t="shared" si="4"/>
        <v>Dead</v>
      </c>
      <c r="D280" s="17" t="str">
        <f>CONCATENATE(Titanic_raw!C280, " Class")</f>
        <v>2 Class</v>
      </c>
      <c r="E280" s="19" t="str">
        <f>INDEX(tbl_passenger[Full Name],MATCH(A280,tbl_passenger[PassengerId],0))</f>
        <v>Mr. John James Ware</v>
      </c>
      <c r="F280" t="str">
        <f>INDEX(tbl_passenger[Sex],MATCH(A280,tbl_passenger[PassengerId],0))</f>
        <v>Male</v>
      </c>
      <c r="G280" t="str">
        <f>IF(tbl_figures[Age]&lt;20, "Teens (0-19)", IF(tbl_figures[Age] &lt;40, "Youth (20-39)", IF(tbl_figures[Age]&lt;60, "Adult (40-59)", IF(tbl_figures[Age]&gt;=60, "Elders (60-Above)"))))</f>
        <v>Youth (20-39)</v>
      </c>
      <c r="H280" s="25">
        <f>IF(ISBLANK(Titanic_raw!F280),$C$423,Titanic_raw!F280)</f>
        <v>30</v>
      </c>
      <c r="I280">
        <f>Titanic_raw!G280</f>
        <v>1</v>
      </c>
      <c r="J280">
        <f>Titanic_raw!H280</f>
        <v>0</v>
      </c>
      <c r="K280" t="str">
        <f>Titanic_raw!I280</f>
        <v>CA 31352</v>
      </c>
      <c r="L280" s="26">
        <f>IF(ISBLANK(Titanic_raw!J280),$C$427,Titanic_raw!J280)</f>
        <v>21</v>
      </c>
      <c r="M280">
        <f>Titanic_raw!K280</f>
        <v>0</v>
      </c>
      <c r="N280" t="str">
        <f>IF(Titanic_raw!L280="S","Southampton",IF(Titanic_raw!L280="Q","Queenstown",IF(Titanic_raw!L280="C","Cherbourg")))</f>
        <v>Southampton</v>
      </c>
    </row>
    <row r="281" spans="1:14" x14ac:dyDescent="0.2">
      <c r="A281" s="18">
        <f>Titanic_raw!A281</f>
        <v>1171</v>
      </c>
      <c r="B281" s="21">
        <f>Titanic_raw!B281</f>
        <v>0</v>
      </c>
      <c r="C281" s="21" t="str">
        <f t="shared" si="4"/>
        <v>Dead</v>
      </c>
      <c r="D281" s="21" t="str">
        <f>CONCATENATE(Titanic_raw!C281, " Class")</f>
        <v>2 Class</v>
      </c>
      <c r="E281" s="23" t="str">
        <f>INDEX(tbl_passenger[Full Name],MATCH(A281,tbl_passenger[PassengerId],0))</f>
        <v>Mr. Percy Thomas Oxenham</v>
      </c>
      <c r="F281" t="str">
        <f>INDEX(tbl_passenger[Sex],MATCH(A281,tbl_passenger[PassengerId],0))</f>
        <v>Male</v>
      </c>
      <c r="G281" t="str">
        <f>IF(tbl_figures[Age]&lt;20, "Teens (0-19)", IF(tbl_figures[Age] &lt;40, "Youth (20-39)", IF(tbl_figures[Age]&lt;60, "Adult (40-59)", IF(tbl_figures[Age]&gt;=60, "Elders (60-Above)"))))</f>
        <v>Youth (20-39)</v>
      </c>
      <c r="H281" s="25">
        <f>IF(ISBLANK(Titanic_raw!F281),$C$423,Titanic_raw!F281)</f>
        <v>22</v>
      </c>
      <c r="I281">
        <f>Titanic_raw!G281</f>
        <v>0</v>
      </c>
      <c r="J281">
        <f>Titanic_raw!H281</f>
        <v>0</v>
      </c>
      <c r="K281" t="str">
        <f>Titanic_raw!I281</f>
        <v>W./C. 14260</v>
      </c>
      <c r="L281" s="26">
        <f>IF(ISBLANK(Titanic_raw!J281),$C$427,Titanic_raw!J281)</f>
        <v>10.5</v>
      </c>
      <c r="M281">
        <f>Titanic_raw!K281</f>
        <v>0</v>
      </c>
      <c r="N281" t="str">
        <f>IF(Titanic_raw!L281="S","Southampton",IF(Titanic_raw!L281="Q","Queenstown",IF(Titanic_raw!L281="C","Cherbourg")))</f>
        <v>Southampton</v>
      </c>
    </row>
    <row r="282" spans="1:14" x14ac:dyDescent="0.2">
      <c r="A282" s="18">
        <f>Titanic_raw!A282</f>
        <v>1172</v>
      </c>
      <c r="B282" s="17">
        <f>Titanic_raw!B282</f>
        <v>1</v>
      </c>
      <c r="C282" s="17" t="str">
        <f t="shared" si="4"/>
        <v>Survived</v>
      </c>
      <c r="D282" s="17" t="str">
        <f>CONCATENATE(Titanic_raw!C282, " Class")</f>
        <v>3 Class</v>
      </c>
      <c r="E282" s="19" t="str">
        <f>INDEX(tbl_passenger[Full Name],MATCH(A282,tbl_passenger[PassengerId],0))</f>
        <v>Miss. Jelka Oreskovic</v>
      </c>
      <c r="F282" t="str">
        <f>INDEX(tbl_passenger[Sex],MATCH(A282,tbl_passenger[PassengerId],0))</f>
        <v>Female</v>
      </c>
      <c r="G282" t="str">
        <f>IF(tbl_figures[Age]&lt;20, "Teens (0-19)", IF(tbl_figures[Age] &lt;40, "Youth (20-39)", IF(tbl_figures[Age]&lt;60, "Adult (40-59)", IF(tbl_figures[Age]&gt;=60, "Elders (60-Above)"))))</f>
        <v>Youth (20-39)</v>
      </c>
      <c r="H282" s="25">
        <f>IF(ISBLANK(Titanic_raw!F282),$C$423,Titanic_raw!F282)</f>
        <v>23</v>
      </c>
      <c r="I282">
        <f>Titanic_raw!G282</f>
        <v>0</v>
      </c>
      <c r="J282">
        <f>Titanic_raw!H282</f>
        <v>0</v>
      </c>
      <c r="K282">
        <f>Titanic_raw!I282</f>
        <v>315085</v>
      </c>
      <c r="L282" s="26">
        <f>IF(ISBLANK(Titanic_raw!J282),$C$427,Titanic_raw!J282)</f>
        <v>8.6624999999999996</v>
      </c>
      <c r="M282">
        <f>Titanic_raw!K282</f>
        <v>0</v>
      </c>
      <c r="N282" t="str">
        <f>IF(Titanic_raw!L282="S","Southampton",IF(Titanic_raw!L282="Q","Queenstown",IF(Titanic_raw!L282="C","Cherbourg")))</f>
        <v>Southampton</v>
      </c>
    </row>
    <row r="283" spans="1:14" x14ac:dyDescent="0.2">
      <c r="A283" s="18">
        <f>Titanic_raw!A283</f>
        <v>1173</v>
      </c>
      <c r="B283" s="21">
        <f>Titanic_raw!B283</f>
        <v>0</v>
      </c>
      <c r="C283" s="21" t="str">
        <f t="shared" si="4"/>
        <v>Dead</v>
      </c>
      <c r="D283" s="21" t="str">
        <f>CONCATENATE(Titanic_raw!C283, " Class")</f>
        <v>3 Class</v>
      </c>
      <c r="E283" s="23" t="str">
        <f>INDEX(tbl_passenger[Full Name],MATCH(A283,tbl_passenger[PassengerId],0))</f>
        <v>Master. Alfred Edward Peacock</v>
      </c>
      <c r="F283" t="str">
        <f>INDEX(tbl_passenger[Sex],MATCH(A283,tbl_passenger[PassengerId],0))</f>
        <v>Male</v>
      </c>
      <c r="G283" t="str">
        <f>IF(tbl_figures[Age]&lt;20, "Teens (0-19)", IF(tbl_figures[Age] &lt;40, "Youth (20-39)", IF(tbl_figures[Age]&lt;60, "Adult (40-59)", IF(tbl_figures[Age]&gt;=60, "Elders (60-Above)"))))</f>
        <v>Teens (0-19)</v>
      </c>
      <c r="H283" s="25">
        <f>IF(ISBLANK(Titanic_raw!F283),$C$423,Titanic_raw!F283)</f>
        <v>0.75</v>
      </c>
      <c r="I283">
        <f>Titanic_raw!G283</f>
        <v>1</v>
      </c>
      <c r="J283">
        <f>Titanic_raw!H283</f>
        <v>1</v>
      </c>
      <c r="K283" t="str">
        <f>Titanic_raw!I283</f>
        <v>SOTON/O.Q. 3101315</v>
      </c>
      <c r="L283" s="26">
        <f>IF(ISBLANK(Titanic_raw!J283),$C$427,Titanic_raw!J283)</f>
        <v>13.775</v>
      </c>
      <c r="M283">
        <f>Titanic_raw!K283</f>
        <v>0</v>
      </c>
      <c r="N283" t="str">
        <f>IF(Titanic_raw!L283="S","Southampton",IF(Titanic_raw!L283="Q","Queenstown",IF(Titanic_raw!L283="C","Cherbourg")))</f>
        <v>Southampton</v>
      </c>
    </row>
    <row r="284" spans="1:14" x14ac:dyDescent="0.2">
      <c r="A284" s="18">
        <f>Titanic_raw!A284</f>
        <v>1174</v>
      </c>
      <c r="B284" s="17">
        <f>Titanic_raw!B284</f>
        <v>1</v>
      </c>
      <c r="C284" s="17" t="str">
        <f t="shared" si="4"/>
        <v>Survived</v>
      </c>
      <c r="D284" s="17" t="str">
        <f>CONCATENATE(Titanic_raw!C284, " Class")</f>
        <v>3 Class</v>
      </c>
      <c r="E284" s="19" t="str">
        <f>INDEX(tbl_passenger[Full Name],MATCH(A284,tbl_passenger[PassengerId],0))</f>
        <v>Miss. Honora Fleming</v>
      </c>
      <c r="F284" t="str">
        <f>INDEX(tbl_passenger[Sex],MATCH(A284,tbl_passenger[PassengerId],0))</f>
        <v>Female</v>
      </c>
      <c r="G284" t="str">
        <f>IF(tbl_figures[Age]&lt;20, "Teens (0-19)", IF(tbl_figures[Age] &lt;40, "Youth (20-39)", IF(tbl_figures[Age]&lt;60, "Adult (40-59)", IF(tbl_figures[Age]&gt;=60, "Elders (60-Above)"))))</f>
        <v>Youth (20-39)</v>
      </c>
      <c r="H284" s="25">
        <f>IF(ISBLANK(Titanic_raw!F284),$C$423,Titanic_raw!F284)</f>
        <v>30.272590325616491</v>
      </c>
      <c r="I284">
        <f>Titanic_raw!G284</f>
        <v>0</v>
      </c>
      <c r="J284">
        <f>Titanic_raw!H284</f>
        <v>0</v>
      </c>
      <c r="K284">
        <f>Titanic_raw!I284</f>
        <v>364859</v>
      </c>
      <c r="L284" s="26">
        <f>IF(ISBLANK(Titanic_raw!J284),$C$427,Titanic_raw!J284)</f>
        <v>7.75</v>
      </c>
      <c r="M284">
        <f>Titanic_raw!K284</f>
        <v>0</v>
      </c>
      <c r="N284" t="str">
        <f>IF(Titanic_raw!L284="S","Southampton",IF(Titanic_raw!L284="Q","Queenstown",IF(Titanic_raw!L284="C","Cherbourg")))</f>
        <v>Queenstown</v>
      </c>
    </row>
    <row r="285" spans="1:14" x14ac:dyDescent="0.2">
      <c r="A285" s="18">
        <f>Titanic_raw!A285</f>
        <v>1175</v>
      </c>
      <c r="B285" s="21">
        <f>Titanic_raw!B285</f>
        <v>1</v>
      </c>
      <c r="C285" s="21" t="str">
        <f t="shared" si="4"/>
        <v>Survived</v>
      </c>
      <c r="D285" s="21" t="str">
        <f>CONCATENATE(Titanic_raw!C285, " Class")</f>
        <v>3 Class</v>
      </c>
      <c r="E285" s="23" t="str">
        <f>INDEX(tbl_passenger[Full Name],MATCH(A285,tbl_passenger[PassengerId],0))</f>
        <v>Miss. Maria Youssef Touma</v>
      </c>
      <c r="F285" t="str">
        <f>INDEX(tbl_passenger[Sex],MATCH(A285,tbl_passenger[PassengerId],0))</f>
        <v>Female</v>
      </c>
      <c r="G285" t="str">
        <f>IF(tbl_figures[Age]&lt;20, "Teens (0-19)", IF(tbl_figures[Age] &lt;40, "Youth (20-39)", IF(tbl_figures[Age]&lt;60, "Adult (40-59)", IF(tbl_figures[Age]&gt;=60, "Elders (60-Above)"))))</f>
        <v>Teens (0-19)</v>
      </c>
      <c r="H285" s="25">
        <f>IF(ISBLANK(Titanic_raw!F285),$C$423,Titanic_raw!F285)</f>
        <v>9</v>
      </c>
      <c r="I285">
        <f>Titanic_raw!G285</f>
        <v>1</v>
      </c>
      <c r="J285">
        <f>Titanic_raw!H285</f>
        <v>1</v>
      </c>
      <c r="K285">
        <f>Titanic_raw!I285</f>
        <v>2650</v>
      </c>
      <c r="L285" s="26">
        <f>IF(ISBLANK(Titanic_raw!J285),$C$427,Titanic_raw!J285)</f>
        <v>15.245799999999999</v>
      </c>
      <c r="M285">
        <f>Titanic_raw!K285</f>
        <v>0</v>
      </c>
      <c r="N285" t="str">
        <f>IF(Titanic_raw!L285="S","Southampton",IF(Titanic_raw!L285="Q","Queenstown",IF(Titanic_raw!L285="C","Cherbourg")))</f>
        <v>Cherbourg</v>
      </c>
    </row>
    <row r="286" spans="1:14" x14ac:dyDescent="0.2">
      <c r="A286" s="18">
        <f>Titanic_raw!A286</f>
        <v>1176</v>
      </c>
      <c r="B286" s="17">
        <f>Titanic_raw!B286</f>
        <v>1</v>
      </c>
      <c r="C286" s="17" t="str">
        <f t="shared" si="4"/>
        <v>Survived</v>
      </c>
      <c r="D286" s="17" t="str">
        <f>CONCATENATE(Titanic_raw!C286, " Class")</f>
        <v>3 Class</v>
      </c>
      <c r="E286" s="19" t="str">
        <f>INDEX(tbl_passenger[Full Name],MATCH(A286,tbl_passenger[PassengerId],0))</f>
        <v>Miss. Salli Helena Rosblom</v>
      </c>
      <c r="F286" t="str">
        <f>INDEX(tbl_passenger[Sex],MATCH(A286,tbl_passenger[PassengerId],0))</f>
        <v>Female</v>
      </c>
      <c r="G286" t="str">
        <f>IF(tbl_figures[Age]&lt;20, "Teens (0-19)", IF(tbl_figures[Age] &lt;40, "Youth (20-39)", IF(tbl_figures[Age]&lt;60, "Adult (40-59)", IF(tbl_figures[Age]&gt;=60, "Elders (60-Above)"))))</f>
        <v>Teens (0-19)</v>
      </c>
      <c r="H286" s="25">
        <f>IF(ISBLANK(Titanic_raw!F286),$C$423,Titanic_raw!F286)</f>
        <v>2</v>
      </c>
      <c r="I286">
        <f>Titanic_raw!G286</f>
        <v>1</v>
      </c>
      <c r="J286">
        <f>Titanic_raw!H286</f>
        <v>1</v>
      </c>
      <c r="K286">
        <f>Titanic_raw!I286</f>
        <v>370129</v>
      </c>
      <c r="L286" s="26">
        <f>IF(ISBLANK(Titanic_raw!J286),$C$427,Titanic_raw!J286)</f>
        <v>20.212499999999999</v>
      </c>
      <c r="M286">
        <f>Titanic_raw!K286</f>
        <v>0</v>
      </c>
      <c r="N286" t="str">
        <f>IF(Titanic_raw!L286="S","Southampton",IF(Titanic_raw!L286="Q","Queenstown",IF(Titanic_raw!L286="C","Cherbourg")))</f>
        <v>Southampton</v>
      </c>
    </row>
    <row r="287" spans="1:14" x14ac:dyDescent="0.2">
      <c r="A287" s="18">
        <f>Titanic_raw!A287</f>
        <v>1177</v>
      </c>
      <c r="B287" s="21">
        <f>Titanic_raw!B287</f>
        <v>0</v>
      </c>
      <c r="C287" s="21" t="str">
        <f t="shared" si="4"/>
        <v>Dead</v>
      </c>
      <c r="D287" s="21" t="str">
        <f>CONCATENATE(Titanic_raw!C287, " Class")</f>
        <v>3 Class</v>
      </c>
      <c r="E287" s="23" t="str">
        <f>INDEX(tbl_passenger[Full Name],MATCH(A287,tbl_passenger[PassengerId],0))</f>
        <v>Mr. William Dennis</v>
      </c>
      <c r="F287" t="str">
        <f>INDEX(tbl_passenger[Sex],MATCH(A287,tbl_passenger[PassengerId],0))</f>
        <v>Male</v>
      </c>
      <c r="G287" t="str">
        <f>IF(tbl_figures[Age]&lt;20, "Teens (0-19)", IF(tbl_figures[Age] &lt;40, "Youth (20-39)", IF(tbl_figures[Age]&lt;60, "Adult (40-59)", IF(tbl_figures[Age]&gt;=60, "Elders (60-Above)"))))</f>
        <v>Youth (20-39)</v>
      </c>
      <c r="H287" s="25">
        <f>IF(ISBLANK(Titanic_raw!F287),$C$423,Titanic_raw!F287)</f>
        <v>36</v>
      </c>
      <c r="I287">
        <f>Titanic_raw!G287</f>
        <v>0</v>
      </c>
      <c r="J287">
        <f>Titanic_raw!H287</f>
        <v>0</v>
      </c>
      <c r="K287" t="str">
        <f>Titanic_raw!I287</f>
        <v>A/5 21175</v>
      </c>
      <c r="L287" s="26">
        <f>IF(ISBLANK(Titanic_raw!J287),$C$427,Titanic_raw!J287)</f>
        <v>7.25</v>
      </c>
      <c r="M287">
        <f>Titanic_raw!K287</f>
        <v>0</v>
      </c>
      <c r="N287" t="str">
        <f>IF(Titanic_raw!L287="S","Southampton",IF(Titanic_raw!L287="Q","Queenstown",IF(Titanic_raw!L287="C","Cherbourg")))</f>
        <v>Southampton</v>
      </c>
    </row>
    <row r="288" spans="1:14" x14ac:dyDescent="0.2">
      <c r="A288" s="18">
        <f>Titanic_raw!A288</f>
        <v>1178</v>
      </c>
      <c r="B288" s="17">
        <f>Titanic_raw!B288</f>
        <v>0</v>
      </c>
      <c r="C288" s="17" t="str">
        <f t="shared" si="4"/>
        <v>Dead</v>
      </c>
      <c r="D288" s="17" t="str">
        <f>CONCATENATE(Titanic_raw!C288, " Class")</f>
        <v>3 Class</v>
      </c>
      <c r="E288" s="19" t="str">
        <f>INDEX(tbl_passenger[Full Name],MATCH(A288,tbl_passenger[PassengerId],0))</f>
        <v>Mr. Charles (Charles Fardon) Franklin</v>
      </c>
      <c r="F288" t="str">
        <f>INDEX(tbl_passenger[Sex],MATCH(A288,tbl_passenger[PassengerId],0))</f>
        <v>Male</v>
      </c>
      <c r="G288" t="str">
        <f>IF(tbl_figures[Age]&lt;20, "Teens (0-19)", IF(tbl_figures[Age] &lt;40, "Youth (20-39)", IF(tbl_figures[Age]&lt;60, "Adult (40-59)", IF(tbl_figures[Age]&gt;=60, "Elders (60-Above)"))))</f>
        <v>Youth (20-39)</v>
      </c>
      <c r="H288" s="25">
        <f>IF(ISBLANK(Titanic_raw!F288),$C$423,Titanic_raw!F288)</f>
        <v>30.272590325616491</v>
      </c>
      <c r="I288">
        <f>Titanic_raw!G288</f>
        <v>0</v>
      </c>
      <c r="J288">
        <f>Titanic_raw!H288</f>
        <v>0</v>
      </c>
      <c r="K288" t="str">
        <f>Titanic_raw!I288</f>
        <v>SOTON/O.Q. 3101314</v>
      </c>
      <c r="L288" s="26">
        <f>IF(ISBLANK(Titanic_raw!J288),$C$427,Titanic_raw!J288)</f>
        <v>7.25</v>
      </c>
      <c r="M288">
        <f>Titanic_raw!K288</f>
        <v>0</v>
      </c>
      <c r="N288" t="str">
        <f>IF(Titanic_raw!L288="S","Southampton",IF(Titanic_raw!L288="Q","Queenstown",IF(Titanic_raw!L288="C","Cherbourg")))</f>
        <v>Southampton</v>
      </c>
    </row>
    <row r="289" spans="1:14" x14ac:dyDescent="0.2">
      <c r="A289" s="18">
        <f>Titanic_raw!A289</f>
        <v>1179</v>
      </c>
      <c r="B289" s="21">
        <f>Titanic_raw!B289</f>
        <v>0</v>
      </c>
      <c r="C289" s="21" t="str">
        <f t="shared" si="4"/>
        <v>Dead</v>
      </c>
      <c r="D289" s="21" t="str">
        <f>CONCATENATE(Titanic_raw!C289, " Class")</f>
        <v>1 Class</v>
      </c>
      <c r="E289" s="23" t="str">
        <f>INDEX(tbl_passenger[Full Name],MATCH(A289,tbl_passenger[PassengerId],0))</f>
        <v>Mr. John Pillsbury Snyder</v>
      </c>
      <c r="F289" t="str">
        <f>INDEX(tbl_passenger[Sex],MATCH(A289,tbl_passenger[PassengerId],0))</f>
        <v>Male</v>
      </c>
      <c r="G289" t="str">
        <f>IF(tbl_figures[Age]&lt;20, "Teens (0-19)", IF(tbl_figures[Age] &lt;40, "Youth (20-39)", IF(tbl_figures[Age]&lt;60, "Adult (40-59)", IF(tbl_figures[Age]&gt;=60, "Elders (60-Above)"))))</f>
        <v>Youth (20-39)</v>
      </c>
      <c r="H289" s="25">
        <f>IF(ISBLANK(Titanic_raw!F289),$C$423,Titanic_raw!F289)</f>
        <v>24</v>
      </c>
      <c r="I289">
        <f>Titanic_raw!G289</f>
        <v>1</v>
      </c>
      <c r="J289">
        <f>Titanic_raw!H289</f>
        <v>0</v>
      </c>
      <c r="K289">
        <f>Titanic_raw!I289</f>
        <v>21228</v>
      </c>
      <c r="L289" s="26">
        <f>IF(ISBLANK(Titanic_raw!J289),$C$427,Titanic_raw!J289)</f>
        <v>82.2667</v>
      </c>
      <c r="M289" t="str">
        <f>Titanic_raw!K289</f>
        <v>B45</v>
      </c>
      <c r="N289" t="str">
        <f>IF(Titanic_raw!L289="S","Southampton",IF(Titanic_raw!L289="Q","Queenstown",IF(Titanic_raw!L289="C","Cherbourg")))</f>
        <v>Southampton</v>
      </c>
    </row>
    <row r="290" spans="1:14" x14ac:dyDescent="0.2">
      <c r="A290" s="18">
        <f>Titanic_raw!A290</f>
        <v>1180</v>
      </c>
      <c r="B290" s="17">
        <f>Titanic_raw!B290</f>
        <v>0</v>
      </c>
      <c r="C290" s="17" t="str">
        <f t="shared" si="4"/>
        <v>Dead</v>
      </c>
      <c r="D290" s="17" t="str">
        <f>CONCATENATE(Titanic_raw!C290, " Class")</f>
        <v>3 Class</v>
      </c>
      <c r="E290" s="19" t="str">
        <f>INDEX(tbl_passenger[Full Name],MATCH(A290,tbl_passenger[PassengerId],0))</f>
        <v>Mr. Sarkis Mardirosian</v>
      </c>
      <c r="F290" t="str">
        <f>INDEX(tbl_passenger[Sex],MATCH(A290,tbl_passenger[PassengerId],0))</f>
        <v>Male</v>
      </c>
      <c r="G290" t="str">
        <f>IF(tbl_figures[Age]&lt;20, "Teens (0-19)", IF(tbl_figures[Age] &lt;40, "Youth (20-39)", IF(tbl_figures[Age]&lt;60, "Adult (40-59)", IF(tbl_figures[Age]&gt;=60, "Elders (60-Above)"))))</f>
        <v>Youth (20-39)</v>
      </c>
      <c r="H290" s="25">
        <f>IF(ISBLANK(Titanic_raw!F290),$C$423,Titanic_raw!F290)</f>
        <v>30.272590325616491</v>
      </c>
      <c r="I290">
        <f>Titanic_raw!G290</f>
        <v>0</v>
      </c>
      <c r="J290">
        <f>Titanic_raw!H290</f>
        <v>0</v>
      </c>
      <c r="K290">
        <f>Titanic_raw!I290</f>
        <v>2655</v>
      </c>
      <c r="L290" s="26">
        <f>IF(ISBLANK(Titanic_raw!J290),$C$427,Titanic_raw!J290)</f>
        <v>7.2291999999999996</v>
      </c>
      <c r="M290" t="str">
        <f>Titanic_raw!K290</f>
        <v>F E46</v>
      </c>
      <c r="N290" t="str">
        <f>IF(Titanic_raw!L290="S","Southampton",IF(Titanic_raw!L290="Q","Queenstown",IF(Titanic_raw!L290="C","Cherbourg")))</f>
        <v>Cherbourg</v>
      </c>
    </row>
    <row r="291" spans="1:14" x14ac:dyDescent="0.2">
      <c r="A291" s="18">
        <f>Titanic_raw!A291</f>
        <v>1181</v>
      </c>
      <c r="B291" s="21">
        <f>Titanic_raw!B291</f>
        <v>0</v>
      </c>
      <c r="C291" s="21" t="str">
        <f t="shared" si="4"/>
        <v>Dead</v>
      </c>
      <c r="D291" s="21" t="str">
        <f>CONCATENATE(Titanic_raw!C291, " Class")</f>
        <v>3 Class</v>
      </c>
      <c r="E291" s="23" t="str">
        <f>INDEX(tbl_passenger[Full Name],MATCH(A291,tbl_passenger[PassengerId],0))</f>
        <v>Mr. Arthur Ford</v>
      </c>
      <c r="F291" t="str">
        <f>INDEX(tbl_passenger[Sex],MATCH(A291,tbl_passenger[PassengerId],0))</f>
        <v>Male</v>
      </c>
      <c r="G291" t="str">
        <f>IF(tbl_figures[Age]&lt;20, "Teens (0-19)", IF(tbl_figures[Age] &lt;40, "Youth (20-39)", IF(tbl_figures[Age]&lt;60, "Adult (40-59)", IF(tbl_figures[Age]&gt;=60, "Elders (60-Above)"))))</f>
        <v>Youth (20-39)</v>
      </c>
      <c r="H291" s="25">
        <f>IF(ISBLANK(Titanic_raw!F291),$C$423,Titanic_raw!F291)</f>
        <v>30.272590325616491</v>
      </c>
      <c r="I291">
        <f>Titanic_raw!G291</f>
        <v>0</v>
      </c>
      <c r="J291">
        <f>Titanic_raw!H291</f>
        <v>0</v>
      </c>
      <c r="K291" t="str">
        <f>Titanic_raw!I291</f>
        <v>A/5 1478</v>
      </c>
      <c r="L291" s="26">
        <f>IF(ISBLANK(Titanic_raw!J291),$C$427,Titanic_raw!J291)</f>
        <v>8.0500000000000007</v>
      </c>
      <c r="M291">
        <f>Titanic_raw!K291</f>
        <v>0</v>
      </c>
      <c r="N291" t="str">
        <f>IF(Titanic_raw!L291="S","Southampton",IF(Titanic_raw!L291="Q","Queenstown",IF(Titanic_raw!L291="C","Cherbourg")))</f>
        <v>Southampton</v>
      </c>
    </row>
    <row r="292" spans="1:14" x14ac:dyDescent="0.2">
      <c r="A292" s="18">
        <f>Titanic_raw!A292</f>
        <v>1182</v>
      </c>
      <c r="B292" s="17">
        <f>Titanic_raw!B292</f>
        <v>0</v>
      </c>
      <c r="C292" s="17" t="str">
        <f t="shared" si="4"/>
        <v>Dead</v>
      </c>
      <c r="D292" s="17" t="str">
        <f>CONCATENATE(Titanic_raw!C292, " Class")</f>
        <v>1 Class</v>
      </c>
      <c r="E292" s="19" t="str">
        <f>INDEX(tbl_passenger[Full Name],MATCH(A292,tbl_passenger[PassengerId],0))</f>
        <v>Mr. George Alexander Lucien Rheims</v>
      </c>
      <c r="F292" t="str">
        <f>INDEX(tbl_passenger[Sex],MATCH(A292,tbl_passenger[PassengerId],0))</f>
        <v>Male</v>
      </c>
      <c r="G292" t="str">
        <f>IF(tbl_figures[Age]&lt;20, "Teens (0-19)", IF(tbl_figures[Age] &lt;40, "Youth (20-39)", IF(tbl_figures[Age]&lt;60, "Adult (40-59)", IF(tbl_figures[Age]&gt;=60, "Elders (60-Above)"))))</f>
        <v>Youth (20-39)</v>
      </c>
      <c r="H292" s="25">
        <f>IF(ISBLANK(Titanic_raw!F292),$C$423,Titanic_raw!F292)</f>
        <v>30.272590325616491</v>
      </c>
      <c r="I292">
        <f>Titanic_raw!G292</f>
        <v>0</v>
      </c>
      <c r="J292">
        <f>Titanic_raw!H292</f>
        <v>0</v>
      </c>
      <c r="K292" t="str">
        <f>Titanic_raw!I292</f>
        <v>PC 17607</v>
      </c>
      <c r="L292" s="26">
        <f>IF(ISBLANK(Titanic_raw!J292),$C$427,Titanic_raw!J292)</f>
        <v>39.6</v>
      </c>
      <c r="M292">
        <f>Titanic_raw!K292</f>
        <v>0</v>
      </c>
      <c r="N292" t="str">
        <f>IF(Titanic_raw!L292="S","Southampton",IF(Titanic_raw!L292="Q","Queenstown",IF(Titanic_raw!L292="C","Cherbourg")))</f>
        <v>Southampton</v>
      </c>
    </row>
    <row r="293" spans="1:14" x14ac:dyDescent="0.2">
      <c r="A293" s="18">
        <f>Titanic_raw!A293</f>
        <v>1183</v>
      </c>
      <c r="B293" s="21">
        <f>Titanic_raw!B293</f>
        <v>1</v>
      </c>
      <c r="C293" s="21" t="str">
        <f t="shared" si="4"/>
        <v>Survived</v>
      </c>
      <c r="D293" s="21" t="str">
        <f>CONCATENATE(Titanic_raw!C293, " Class")</f>
        <v>3 Class</v>
      </c>
      <c r="E293" s="23" t="str">
        <f>INDEX(tbl_passenger[Full Name],MATCH(A293,tbl_passenger[PassengerId],0))</f>
        <v>Miss. Margaret Marcella Maggie"" Daly</v>
      </c>
      <c r="F293" t="str">
        <f>INDEX(tbl_passenger[Sex],MATCH(A293,tbl_passenger[PassengerId],0))</f>
        <v>Female</v>
      </c>
      <c r="G293" t="str">
        <f>IF(tbl_figures[Age]&lt;20, "Teens (0-19)", IF(tbl_figures[Age] &lt;40, "Youth (20-39)", IF(tbl_figures[Age]&lt;60, "Adult (40-59)", IF(tbl_figures[Age]&gt;=60, "Elders (60-Above)"))))</f>
        <v>Youth (20-39)</v>
      </c>
      <c r="H293" s="25">
        <f>IF(ISBLANK(Titanic_raw!F293),$C$423,Titanic_raw!F293)</f>
        <v>30</v>
      </c>
      <c r="I293">
        <f>Titanic_raw!G293</f>
        <v>0</v>
      </c>
      <c r="J293">
        <f>Titanic_raw!H293</f>
        <v>0</v>
      </c>
      <c r="K293">
        <f>Titanic_raw!I293</f>
        <v>382650</v>
      </c>
      <c r="L293" s="26">
        <f>IF(ISBLANK(Titanic_raw!J293),$C$427,Titanic_raw!J293)</f>
        <v>6.95</v>
      </c>
      <c r="M293">
        <f>Titanic_raw!K293</f>
        <v>0</v>
      </c>
      <c r="N293" t="str">
        <f>IF(Titanic_raw!L293="S","Southampton",IF(Titanic_raw!L293="Q","Queenstown",IF(Titanic_raw!L293="C","Cherbourg")))</f>
        <v>Queenstown</v>
      </c>
    </row>
    <row r="294" spans="1:14" x14ac:dyDescent="0.2">
      <c r="A294" s="18">
        <f>Titanic_raw!A294</f>
        <v>1184</v>
      </c>
      <c r="B294" s="17">
        <f>Titanic_raw!B294</f>
        <v>0</v>
      </c>
      <c r="C294" s="17" t="str">
        <f t="shared" si="4"/>
        <v>Dead</v>
      </c>
      <c r="D294" s="17" t="str">
        <f>CONCATENATE(Titanic_raw!C294, " Class")</f>
        <v>3 Class</v>
      </c>
      <c r="E294" s="19" t="str">
        <f>INDEX(tbl_passenger[Full Name],MATCH(A294,tbl_passenger[PassengerId],0))</f>
        <v>Mr. Mustafa Nasr</v>
      </c>
      <c r="F294" t="str">
        <f>INDEX(tbl_passenger[Sex],MATCH(A294,tbl_passenger[PassengerId],0))</f>
        <v>Male</v>
      </c>
      <c r="G294" t="str">
        <f>IF(tbl_figures[Age]&lt;20, "Teens (0-19)", IF(tbl_figures[Age] &lt;40, "Youth (20-39)", IF(tbl_figures[Age]&lt;60, "Adult (40-59)", IF(tbl_figures[Age]&gt;=60, "Elders (60-Above)"))))</f>
        <v>Youth (20-39)</v>
      </c>
      <c r="H294" s="25">
        <f>IF(ISBLANK(Titanic_raw!F294),$C$423,Titanic_raw!F294)</f>
        <v>30.272590325616491</v>
      </c>
      <c r="I294">
        <f>Titanic_raw!G294</f>
        <v>0</v>
      </c>
      <c r="J294">
        <f>Titanic_raw!H294</f>
        <v>0</v>
      </c>
      <c r="K294">
        <f>Titanic_raw!I294</f>
        <v>2652</v>
      </c>
      <c r="L294" s="26">
        <f>IF(ISBLANK(Titanic_raw!J294),$C$427,Titanic_raw!J294)</f>
        <v>7.2291999999999996</v>
      </c>
      <c r="M294">
        <f>Titanic_raw!K294</f>
        <v>0</v>
      </c>
      <c r="N294" t="str">
        <f>IF(Titanic_raw!L294="S","Southampton",IF(Titanic_raw!L294="Q","Queenstown",IF(Titanic_raw!L294="C","Cherbourg")))</f>
        <v>Cherbourg</v>
      </c>
    </row>
    <row r="295" spans="1:14" x14ac:dyDescent="0.2">
      <c r="A295" s="18">
        <f>Titanic_raw!A295</f>
        <v>1185</v>
      </c>
      <c r="B295" s="21">
        <f>Titanic_raw!B295</f>
        <v>0</v>
      </c>
      <c r="C295" s="21" t="str">
        <f t="shared" si="4"/>
        <v>Dead</v>
      </c>
      <c r="D295" s="21" t="str">
        <f>CONCATENATE(Titanic_raw!C295, " Class")</f>
        <v>1 Class</v>
      </c>
      <c r="E295" s="23" t="str">
        <f>INDEX(tbl_passenger[Full Name],MATCH(A295,tbl_passenger[PassengerId],0))</f>
        <v>Dr. Washington Dodge</v>
      </c>
      <c r="F295" t="str">
        <f>INDEX(tbl_passenger[Sex],MATCH(A295,tbl_passenger[PassengerId],0))</f>
        <v>Male</v>
      </c>
      <c r="G295" t="str">
        <f>IF(tbl_figures[Age]&lt;20, "Teens (0-19)", IF(tbl_figures[Age] &lt;40, "Youth (20-39)", IF(tbl_figures[Age]&lt;60, "Adult (40-59)", IF(tbl_figures[Age]&gt;=60, "Elders (60-Above)"))))</f>
        <v>Adult (40-59)</v>
      </c>
      <c r="H295" s="25">
        <f>IF(ISBLANK(Titanic_raw!F295),$C$423,Titanic_raw!F295)</f>
        <v>53</v>
      </c>
      <c r="I295">
        <f>Titanic_raw!G295</f>
        <v>1</v>
      </c>
      <c r="J295">
        <f>Titanic_raw!H295</f>
        <v>1</v>
      </c>
      <c r="K295">
        <f>Titanic_raw!I295</f>
        <v>33638</v>
      </c>
      <c r="L295" s="26">
        <f>IF(ISBLANK(Titanic_raw!J295),$C$427,Titanic_raw!J295)</f>
        <v>81.8583</v>
      </c>
      <c r="M295" t="str">
        <f>Titanic_raw!K295</f>
        <v>A34</v>
      </c>
      <c r="N295" t="str">
        <f>IF(Titanic_raw!L295="S","Southampton",IF(Titanic_raw!L295="Q","Queenstown",IF(Titanic_raw!L295="C","Cherbourg")))</f>
        <v>Southampton</v>
      </c>
    </row>
    <row r="296" spans="1:14" x14ac:dyDescent="0.2">
      <c r="A296" s="18">
        <f>Titanic_raw!A296</f>
        <v>1186</v>
      </c>
      <c r="B296" s="17">
        <f>Titanic_raw!B296</f>
        <v>0</v>
      </c>
      <c r="C296" s="17" t="str">
        <f t="shared" si="4"/>
        <v>Dead</v>
      </c>
      <c r="D296" s="17" t="str">
        <f>CONCATENATE(Titanic_raw!C296, " Class")</f>
        <v>3 Class</v>
      </c>
      <c r="E296" s="19" t="str">
        <f>INDEX(tbl_passenger[Full Name],MATCH(A296,tbl_passenger[PassengerId],0))</f>
        <v>Mr. Camille Wittevrongel</v>
      </c>
      <c r="F296" t="str">
        <f>INDEX(tbl_passenger[Sex],MATCH(A296,tbl_passenger[PassengerId],0))</f>
        <v>Male</v>
      </c>
      <c r="G296" t="str">
        <f>IF(tbl_figures[Age]&lt;20, "Teens (0-19)", IF(tbl_figures[Age] &lt;40, "Youth (20-39)", IF(tbl_figures[Age]&lt;60, "Adult (40-59)", IF(tbl_figures[Age]&gt;=60, "Elders (60-Above)"))))</f>
        <v>Youth (20-39)</v>
      </c>
      <c r="H296" s="25">
        <f>IF(ISBLANK(Titanic_raw!F296),$C$423,Titanic_raw!F296)</f>
        <v>36</v>
      </c>
      <c r="I296">
        <f>Titanic_raw!G296</f>
        <v>0</v>
      </c>
      <c r="J296">
        <f>Titanic_raw!H296</f>
        <v>0</v>
      </c>
      <c r="K296">
        <f>Titanic_raw!I296</f>
        <v>345771</v>
      </c>
      <c r="L296" s="26">
        <f>IF(ISBLANK(Titanic_raw!J296),$C$427,Titanic_raw!J296)</f>
        <v>9.5</v>
      </c>
      <c r="M296">
        <f>Titanic_raw!K296</f>
        <v>0</v>
      </c>
      <c r="N296" t="str">
        <f>IF(Titanic_raw!L296="S","Southampton",IF(Titanic_raw!L296="Q","Queenstown",IF(Titanic_raw!L296="C","Cherbourg")))</f>
        <v>Southampton</v>
      </c>
    </row>
    <row r="297" spans="1:14" x14ac:dyDescent="0.2">
      <c r="A297" s="18">
        <f>Titanic_raw!A297</f>
        <v>1187</v>
      </c>
      <c r="B297" s="21">
        <f>Titanic_raw!B297</f>
        <v>0</v>
      </c>
      <c r="C297" s="21" t="str">
        <f t="shared" si="4"/>
        <v>Dead</v>
      </c>
      <c r="D297" s="21" t="str">
        <f>CONCATENATE(Titanic_raw!C297, " Class")</f>
        <v>3 Class</v>
      </c>
      <c r="E297" s="23" t="str">
        <f>INDEX(tbl_passenger[Full Name],MATCH(A297,tbl_passenger[PassengerId],0))</f>
        <v>Mr. Minko Angheloff</v>
      </c>
      <c r="F297" t="str">
        <f>INDEX(tbl_passenger[Sex],MATCH(A297,tbl_passenger[PassengerId],0))</f>
        <v>Male</v>
      </c>
      <c r="G297" t="str">
        <f>IF(tbl_figures[Age]&lt;20, "Teens (0-19)", IF(tbl_figures[Age] &lt;40, "Youth (20-39)", IF(tbl_figures[Age]&lt;60, "Adult (40-59)", IF(tbl_figures[Age]&gt;=60, "Elders (60-Above)"))))</f>
        <v>Youth (20-39)</v>
      </c>
      <c r="H297" s="25">
        <f>IF(ISBLANK(Titanic_raw!F297),$C$423,Titanic_raw!F297)</f>
        <v>26</v>
      </c>
      <c r="I297">
        <f>Titanic_raw!G297</f>
        <v>0</v>
      </c>
      <c r="J297">
        <f>Titanic_raw!H297</f>
        <v>0</v>
      </c>
      <c r="K297">
        <f>Titanic_raw!I297</f>
        <v>349202</v>
      </c>
      <c r="L297" s="26">
        <f>IF(ISBLANK(Titanic_raw!J297),$C$427,Titanic_raw!J297)</f>
        <v>7.8958000000000004</v>
      </c>
      <c r="M297">
        <f>Titanic_raw!K297</f>
        <v>0</v>
      </c>
      <c r="N297" t="str">
        <f>IF(Titanic_raw!L297="S","Southampton",IF(Titanic_raw!L297="Q","Queenstown",IF(Titanic_raw!L297="C","Cherbourg")))</f>
        <v>Southampton</v>
      </c>
    </row>
    <row r="298" spans="1:14" x14ac:dyDescent="0.2">
      <c r="A298" s="18">
        <f>Titanic_raw!A298</f>
        <v>1188</v>
      </c>
      <c r="B298" s="17">
        <f>Titanic_raw!B298</f>
        <v>1</v>
      </c>
      <c r="C298" s="17" t="str">
        <f t="shared" si="4"/>
        <v>Survived</v>
      </c>
      <c r="D298" s="17" t="str">
        <f>CONCATENATE(Titanic_raw!C298, " Class")</f>
        <v>2 Class</v>
      </c>
      <c r="E298" s="19" t="str">
        <f>INDEX(tbl_passenger[Full Name],MATCH(A298,tbl_passenger[PassengerId],0))</f>
        <v>Miss. Louise Laroche</v>
      </c>
      <c r="F298" t="str">
        <f>INDEX(tbl_passenger[Sex],MATCH(A298,tbl_passenger[PassengerId],0))</f>
        <v>Female</v>
      </c>
      <c r="G298" t="str">
        <f>IF(tbl_figures[Age]&lt;20, "Teens (0-19)", IF(tbl_figures[Age] &lt;40, "Youth (20-39)", IF(tbl_figures[Age]&lt;60, "Adult (40-59)", IF(tbl_figures[Age]&gt;=60, "Elders (60-Above)"))))</f>
        <v>Teens (0-19)</v>
      </c>
      <c r="H298" s="25">
        <f>IF(ISBLANK(Titanic_raw!F298),$C$423,Titanic_raw!F298)</f>
        <v>1</v>
      </c>
      <c r="I298">
        <f>Titanic_raw!G298</f>
        <v>1</v>
      </c>
      <c r="J298">
        <f>Titanic_raw!H298</f>
        <v>2</v>
      </c>
      <c r="K298" t="str">
        <f>Titanic_raw!I298</f>
        <v>SC/Paris 2123</v>
      </c>
      <c r="L298" s="26">
        <f>IF(ISBLANK(Titanic_raw!J298),$C$427,Titanic_raw!J298)</f>
        <v>41.5792</v>
      </c>
      <c r="M298">
        <f>Titanic_raw!K298</f>
        <v>0</v>
      </c>
      <c r="N298" t="str">
        <f>IF(Titanic_raw!L298="S","Southampton",IF(Titanic_raw!L298="Q","Queenstown",IF(Titanic_raw!L298="C","Cherbourg")))</f>
        <v>Cherbourg</v>
      </c>
    </row>
    <row r="299" spans="1:14" x14ac:dyDescent="0.2">
      <c r="A299" s="18">
        <f>Titanic_raw!A299</f>
        <v>1189</v>
      </c>
      <c r="B299" s="21">
        <f>Titanic_raw!B299</f>
        <v>0</v>
      </c>
      <c r="C299" s="21" t="str">
        <f t="shared" si="4"/>
        <v>Dead</v>
      </c>
      <c r="D299" s="21" t="str">
        <f>CONCATENATE(Titanic_raw!C299, " Class")</f>
        <v>3 Class</v>
      </c>
      <c r="E299" s="23" t="str">
        <f>INDEX(tbl_passenger[Full Name],MATCH(A299,tbl_passenger[PassengerId],0))</f>
        <v>Mr. Hanna Samaan</v>
      </c>
      <c r="F299" t="str">
        <f>INDEX(tbl_passenger[Sex],MATCH(A299,tbl_passenger[PassengerId],0))</f>
        <v>Male</v>
      </c>
      <c r="G299" t="str">
        <f>IF(tbl_figures[Age]&lt;20, "Teens (0-19)", IF(tbl_figures[Age] &lt;40, "Youth (20-39)", IF(tbl_figures[Age]&lt;60, "Adult (40-59)", IF(tbl_figures[Age]&gt;=60, "Elders (60-Above)"))))</f>
        <v>Youth (20-39)</v>
      </c>
      <c r="H299" s="25">
        <f>IF(ISBLANK(Titanic_raw!F299),$C$423,Titanic_raw!F299)</f>
        <v>30.272590325616491</v>
      </c>
      <c r="I299">
        <f>Titanic_raw!G299</f>
        <v>2</v>
      </c>
      <c r="J299">
        <f>Titanic_raw!H299</f>
        <v>0</v>
      </c>
      <c r="K299">
        <f>Titanic_raw!I299</f>
        <v>2662</v>
      </c>
      <c r="L299" s="26">
        <f>IF(ISBLANK(Titanic_raw!J299),$C$427,Titanic_raw!J299)</f>
        <v>21.679200000000002</v>
      </c>
      <c r="M299">
        <f>Titanic_raw!K299</f>
        <v>0</v>
      </c>
      <c r="N299" t="str">
        <f>IF(Titanic_raw!L299="S","Southampton",IF(Titanic_raw!L299="Q","Queenstown",IF(Titanic_raw!L299="C","Cherbourg")))</f>
        <v>Cherbourg</v>
      </c>
    </row>
    <row r="300" spans="1:14" x14ac:dyDescent="0.2">
      <c r="A300" s="18">
        <f>Titanic_raw!A300</f>
        <v>1190</v>
      </c>
      <c r="B300" s="17">
        <f>Titanic_raw!B300</f>
        <v>0</v>
      </c>
      <c r="C300" s="17" t="str">
        <f t="shared" si="4"/>
        <v>Dead</v>
      </c>
      <c r="D300" s="17" t="str">
        <f>CONCATENATE(Titanic_raw!C300, " Class")</f>
        <v>1 Class</v>
      </c>
      <c r="E300" s="19" t="str">
        <f>INDEX(tbl_passenger[Full Name],MATCH(A300,tbl_passenger[PassengerId],0))</f>
        <v>Mr. Joseph Holland Loring</v>
      </c>
      <c r="F300" t="str">
        <f>INDEX(tbl_passenger[Sex],MATCH(A300,tbl_passenger[PassengerId],0))</f>
        <v>Male</v>
      </c>
      <c r="G300" t="str">
        <f>IF(tbl_figures[Age]&lt;20, "Teens (0-19)", IF(tbl_figures[Age] &lt;40, "Youth (20-39)", IF(tbl_figures[Age]&lt;60, "Adult (40-59)", IF(tbl_figures[Age]&gt;=60, "Elders (60-Above)"))))</f>
        <v>Youth (20-39)</v>
      </c>
      <c r="H300" s="25">
        <f>IF(ISBLANK(Titanic_raw!F300),$C$423,Titanic_raw!F300)</f>
        <v>30</v>
      </c>
      <c r="I300">
        <f>Titanic_raw!G300</f>
        <v>0</v>
      </c>
      <c r="J300">
        <f>Titanic_raw!H300</f>
        <v>0</v>
      </c>
      <c r="K300">
        <f>Titanic_raw!I300</f>
        <v>113801</v>
      </c>
      <c r="L300" s="26">
        <f>IF(ISBLANK(Titanic_raw!J300),$C$427,Titanic_raw!J300)</f>
        <v>45.5</v>
      </c>
      <c r="M300">
        <f>Titanic_raw!K300</f>
        <v>0</v>
      </c>
      <c r="N300" t="str">
        <f>IF(Titanic_raw!L300="S","Southampton",IF(Titanic_raw!L300="Q","Queenstown",IF(Titanic_raw!L300="C","Cherbourg")))</f>
        <v>Southampton</v>
      </c>
    </row>
    <row r="301" spans="1:14" x14ac:dyDescent="0.2">
      <c r="A301" s="18">
        <f>Titanic_raw!A301</f>
        <v>1191</v>
      </c>
      <c r="B301" s="21">
        <f>Titanic_raw!B301</f>
        <v>0</v>
      </c>
      <c r="C301" s="21" t="str">
        <f t="shared" si="4"/>
        <v>Dead</v>
      </c>
      <c r="D301" s="21" t="str">
        <f>CONCATENATE(Titanic_raw!C301, " Class")</f>
        <v>3 Class</v>
      </c>
      <c r="E301" s="23" t="str">
        <f>INDEX(tbl_passenger[Full Name],MATCH(A301,tbl_passenger[PassengerId],0))</f>
        <v>Mr. Nils Johansson</v>
      </c>
      <c r="F301" t="str">
        <f>INDEX(tbl_passenger[Sex],MATCH(A301,tbl_passenger[PassengerId],0))</f>
        <v>Male</v>
      </c>
      <c r="G301" t="str">
        <f>IF(tbl_figures[Age]&lt;20, "Teens (0-19)", IF(tbl_figures[Age] &lt;40, "Youth (20-39)", IF(tbl_figures[Age]&lt;60, "Adult (40-59)", IF(tbl_figures[Age]&gt;=60, "Elders (60-Above)"))))</f>
        <v>Youth (20-39)</v>
      </c>
      <c r="H301" s="25">
        <f>IF(ISBLANK(Titanic_raw!F301),$C$423,Titanic_raw!F301)</f>
        <v>29</v>
      </c>
      <c r="I301">
        <f>Titanic_raw!G301</f>
        <v>0</v>
      </c>
      <c r="J301">
        <f>Titanic_raw!H301</f>
        <v>0</v>
      </c>
      <c r="K301">
        <f>Titanic_raw!I301</f>
        <v>347467</v>
      </c>
      <c r="L301" s="26">
        <f>IF(ISBLANK(Titanic_raw!J301),$C$427,Titanic_raw!J301)</f>
        <v>7.8541999999999996</v>
      </c>
      <c r="M301">
        <f>Titanic_raw!K301</f>
        <v>0</v>
      </c>
      <c r="N301" t="str">
        <f>IF(Titanic_raw!L301="S","Southampton",IF(Titanic_raw!L301="Q","Queenstown",IF(Titanic_raw!L301="C","Cherbourg")))</f>
        <v>Southampton</v>
      </c>
    </row>
    <row r="302" spans="1:14" x14ac:dyDescent="0.2">
      <c r="A302" s="18">
        <f>Titanic_raw!A302</f>
        <v>1192</v>
      </c>
      <c r="B302" s="17">
        <f>Titanic_raw!B302</f>
        <v>0</v>
      </c>
      <c r="C302" s="17" t="str">
        <f t="shared" si="4"/>
        <v>Dead</v>
      </c>
      <c r="D302" s="17" t="str">
        <f>CONCATENATE(Titanic_raw!C302, " Class")</f>
        <v>3 Class</v>
      </c>
      <c r="E302" s="19" t="str">
        <f>INDEX(tbl_passenger[Full Name],MATCH(A302,tbl_passenger[PassengerId],0))</f>
        <v>Mr. Oscar Wilhelm Olsson</v>
      </c>
      <c r="F302" t="str">
        <f>INDEX(tbl_passenger[Sex],MATCH(A302,tbl_passenger[PassengerId],0))</f>
        <v>Male</v>
      </c>
      <c r="G302" t="str">
        <f>IF(tbl_figures[Age]&lt;20, "Teens (0-19)", IF(tbl_figures[Age] &lt;40, "Youth (20-39)", IF(tbl_figures[Age]&lt;60, "Adult (40-59)", IF(tbl_figures[Age]&gt;=60, "Elders (60-Above)"))))</f>
        <v>Youth (20-39)</v>
      </c>
      <c r="H302" s="25">
        <f>IF(ISBLANK(Titanic_raw!F302),$C$423,Titanic_raw!F302)</f>
        <v>32</v>
      </c>
      <c r="I302">
        <f>Titanic_raw!G302</f>
        <v>0</v>
      </c>
      <c r="J302">
        <f>Titanic_raw!H302</f>
        <v>0</v>
      </c>
      <c r="K302">
        <f>Titanic_raw!I302</f>
        <v>347079</v>
      </c>
      <c r="L302" s="26">
        <f>IF(ISBLANK(Titanic_raw!J302),$C$427,Titanic_raw!J302)</f>
        <v>7.7750000000000004</v>
      </c>
      <c r="M302">
        <f>Titanic_raw!K302</f>
        <v>0</v>
      </c>
      <c r="N302" t="str">
        <f>IF(Titanic_raw!L302="S","Southampton",IF(Titanic_raw!L302="Q","Queenstown",IF(Titanic_raw!L302="C","Cherbourg")))</f>
        <v>Southampton</v>
      </c>
    </row>
    <row r="303" spans="1:14" x14ac:dyDescent="0.2">
      <c r="A303" s="18">
        <f>Titanic_raw!A303</f>
        <v>1193</v>
      </c>
      <c r="B303" s="21">
        <f>Titanic_raw!B303</f>
        <v>0</v>
      </c>
      <c r="C303" s="21" t="str">
        <f t="shared" si="4"/>
        <v>Dead</v>
      </c>
      <c r="D303" s="21" t="str">
        <f>CONCATENATE(Titanic_raw!C303, " Class")</f>
        <v>2 Class</v>
      </c>
      <c r="E303" s="23" t="str">
        <f>INDEX(tbl_passenger[Full Name],MATCH(A303,tbl_passenger[PassengerId],0))</f>
        <v>Mr. Noel Malachard</v>
      </c>
      <c r="F303" t="str">
        <f>INDEX(tbl_passenger[Sex],MATCH(A303,tbl_passenger[PassengerId],0))</f>
        <v>Male</v>
      </c>
      <c r="G303" t="str">
        <f>IF(tbl_figures[Age]&lt;20, "Teens (0-19)", IF(tbl_figures[Age] &lt;40, "Youth (20-39)", IF(tbl_figures[Age]&lt;60, "Adult (40-59)", IF(tbl_figures[Age]&gt;=60, "Elders (60-Above)"))))</f>
        <v>Youth (20-39)</v>
      </c>
      <c r="H303" s="25">
        <f>IF(ISBLANK(Titanic_raw!F303),$C$423,Titanic_raw!F303)</f>
        <v>30.272590325616491</v>
      </c>
      <c r="I303">
        <f>Titanic_raw!G303</f>
        <v>0</v>
      </c>
      <c r="J303">
        <f>Titanic_raw!H303</f>
        <v>0</v>
      </c>
      <c r="K303">
        <f>Titanic_raw!I303</f>
        <v>237735</v>
      </c>
      <c r="L303" s="26">
        <f>IF(ISBLANK(Titanic_raw!J303),$C$427,Titanic_raw!J303)</f>
        <v>15.0458</v>
      </c>
      <c r="M303" t="str">
        <f>Titanic_raw!K303</f>
        <v>D</v>
      </c>
      <c r="N303" t="str">
        <f>IF(Titanic_raw!L303="S","Southampton",IF(Titanic_raw!L303="Q","Queenstown",IF(Titanic_raw!L303="C","Cherbourg")))</f>
        <v>Cherbourg</v>
      </c>
    </row>
    <row r="304" spans="1:14" x14ac:dyDescent="0.2">
      <c r="A304" s="18">
        <f>Titanic_raw!A304</f>
        <v>1194</v>
      </c>
      <c r="B304" s="17">
        <f>Titanic_raw!B304</f>
        <v>0</v>
      </c>
      <c r="C304" s="17" t="str">
        <f t="shared" si="4"/>
        <v>Dead</v>
      </c>
      <c r="D304" s="17" t="str">
        <f>CONCATENATE(Titanic_raw!C304, " Class")</f>
        <v>2 Class</v>
      </c>
      <c r="E304" s="19" t="str">
        <f>INDEX(tbl_passenger[Full Name],MATCH(A304,tbl_passenger[PassengerId],0))</f>
        <v>Mr. Escott Robert Phillips</v>
      </c>
      <c r="F304" t="str">
        <f>INDEX(tbl_passenger[Sex],MATCH(A304,tbl_passenger[PassengerId],0))</f>
        <v>Male</v>
      </c>
      <c r="G304" t="str">
        <f>IF(tbl_figures[Age]&lt;20, "Teens (0-19)", IF(tbl_figures[Age] &lt;40, "Youth (20-39)", IF(tbl_figures[Age]&lt;60, "Adult (40-59)", IF(tbl_figures[Age]&gt;=60, "Elders (60-Above)"))))</f>
        <v>Adult (40-59)</v>
      </c>
      <c r="H304" s="25">
        <f>IF(ISBLANK(Titanic_raw!F304),$C$423,Titanic_raw!F304)</f>
        <v>43</v>
      </c>
      <c r="I304">
        <f>Titanic_raw!G304</f>
        <v>0</v>
      </c>
      <c r="J304">
        <f>Titanic_raw!H304</f>
        <v>1</v>
      </c>
      <c r="K304" t="str">
        <f>Titanic_raw!I304</f>
        <v>S.O./P.P. 2</v>
      </c>
      <c r="L304" s="26">
        <f>IF(ISBLANK(Titanic_raw!J304),$C$427,Titanic_raw!J304)</f>
        <v>21</v>
      </c>
      <c r="M304">
        <f>Titanic_raw!K304</f>
        <v>0</v>
      </c>
      <c r="N304" t="str">
        <f>IF(Titanic_raw!L304="S","Southampton",IF(Titanic_raw!L304="Q","Queenstown",IF(Titanic_raw!L304="C","Cherbourg")))</f>
        <v>Southampton</v>
      </c>
    </row>
    <row r="305" spans="1:14" x14ac:dyDescent="0.2">
      <c r="A305" s="18">
        <f>Titanic_raw!A305</f>
        <v>1195</v>
      </c>
      <c r="B305" s="21">
        <f>Titanic_raw!B305</f>
        <v>0</v>
      </c>
      <c r="C305" s="21" t="str">
        <f t="shared" si="4"/>
        <v>Dead</v>
      </c>
      <c r="D305" s="21" t="str">
        <f>CONCATENATE(Titanic_raw!C305, " Class")</f>
        <v>3 Class</v>
      </c>
      <c r="E305" s="23" t="str">
        <f>INDEX(tbl_passenger[Full Name],MATCH(A305,tbl_passenger[PassengerId],0))</f>
        <v>Mr. Tome Pokrnic</v>
      </c>
      <c r="F305" t="str">
        <f>INDEX(tbl_passenger[Sex],MATCH(A305,tbl_passenger[PassengerId],0))</f>
        <v>Male</v>
      </c>
      <c r="G305" t="str">
        <f>IF(tbl_figures[Age]&lt;20, "Teens (0-19)", IF(tbl_figures[Age] &lt;40, "Youth (20-39)", IF(tbl_figures[Age]&lt;60, "Adult (40-59)", IF(tbl_figures[Age]&gt;=60, "Elders (60-Above)"))))</f>
        <v>Youth (20-39)</v>
      </c>
      <c r="H305" s="25">
        <f>IF(ISBLANK(Titanic_raw!F305),$C$423,Titanic_raw!F305)</f>
        <v>24</v>
      </c>
      <c r="I305">
        <f>Titanic_raw!G305</f>
        <v>0</v>
      </c>
      <c r="J305">
        <f>Titanic_raw!H305</f>
        <v>0</v>
      </c>
      <c r="K305">
        <f>Titanic_raw!I305</f>
        <v>315092</v>
      </c>
      <c r="L305" s="26">
        <f>IF(ISBLANK(Titanic_raw!J305),$C$427,Titanic_raw!J305)</f>
        <v>8.6624999999999996</v>
      </c>
      <c r="M305">
        <f>Titanic_raw!K305</f>
        <v>0</v>
      </c>
      <c r="N305" t="str">
        <f>IF(Titanic_raw!L305="S","Southampton",IF(Titanic_raw!L305="Q","Queenstown",IF(Titanic_raw!L305="C","Cherbourg")))</f>
        <v>Southampton</v>
      </c>
    </row>
    <row r="306" spans="1:14" x14ac:dyDescent="0.2">
      <c r="A306" s="18">
        <f>Titanic_raw!A306</f>
        <v>1196</v>
      </c>
      <c r="B306" s="17">
        <f>Titanic_raw!B306</f>
        <v>1</v>
      </c>
      <c r="C306" s="17" t="str">
        <f t="shared" si="4"/>
        <v>Survived</v>
      </c>
      <c r="D306" s="17" t="str">
        <f>CONCATENATE(Titanic_raw!C306, " Class")</f>
        <v>3 Class</v>
      </c>
      <c r="E306" s="19" t="str">
        <f>INDEX(tbl_passenger[Full Name],MATCH(A306,tbl_passenger[PassengerId],0))</f>
        <v>Miss. Catherine Katie"" McCarthy</v>
      </c>
      <c r="F306" t="str">
        <f>INDEX(tbl_passenger[Sex],MATCH(A306,tbl_passenger[PassengerId],0))</f>
        <v>Female</v>
      </c>
      <c r="G306" t="str">
        <f>IF(tbl_figures[Age]&lt;20, "Teens (0-19)", IF(tbl_figures[Age] &lt;40, "Youth (20-39)", IF(tbl_figures[Age]&lt;60, "Adult (40-59)", IF(tbl_figures[Age]&gt;=60, "Elders (60-Above)"))))</f>
        <v>Youth (20-39)</v>
      </c>
      <c r="H306" s="25">
        <f>IF(ISBLANK(Titanic_raw!F306),$C$423,Titanic_raw!F306)</f>
        <v>30.272590325616491</v>
      </c>
      <c r="I306">
        <f>Titanic_raw!G306</f>
        <v>0</v>
      </c>
      <c r="J306">
        <f>Titanic_raw!H306</f>
        <v>0</v>
      </c>
      <c r="K306">
        <f>Titanic_raw!I306</f>
        <v>383123</v>
      </c>
      <c r="L306" s="26">
        <f>IF(ISBLANK(Titanic_raw!J306),$C$427,Titanic_raw!J306)</f>
        <v>7.75</v>
      </c>
      <c r="M306">
        <f>Titanic_raw!K306</f>
        <v>0</v>
      </c>
      <c r="N306" t="str">
        <f>IF(Titanic_raw!L306="S","Southampton",IF(Titanic_raw!L306="Q","Queenstown",IF(Titanic_raw!L306="C","Cherbourg")))</f>
        <v>Queenstown</v>
      </c>
    </row>
    <row r="307" spans="1:14" x14ac:dyDescent="0.2">
      <c r="A307" s="18">
        <f>Titanic_raw!A307</f>
        <v>1197</v>
      </c>
      <c r="B307" s="21">
        <f>Titanic_raw!B307</f>
        <v>1</v>
      </c>
      <c r="C307" s="21" t="str">
        <f t="shared" si="4"/>
        <v>Survived</v>
      </c>
      <c r="D307" s="21" t="str">
        <f>CONCATENATE(Titanic_raw!C307, " Class")</f>
        <v>1 Class</v>
      </c>
      <c r="E307" s="23" t="str">
        <f>INDEX(tbl_passenger[Full Name],MATCH(A307,tbl_passenger[PassengerId],0))</f>
        <v>Mrs. Edward Gifford (Catherine Elizabeth Halstead) Crosby</v>
      </c>
      <c r="F307" t="str">
        <f>INDEX(tbl_passenger[Sex],MATCH(A307,tbl_passenger[PassengerId],0))</f>
        <v>Female</v>
      </c>
      <c r="G307" t="str">
        <f>IF(tbl_figures[Age]&lt;20, "Teens (0-19)", IF(tbl_figures[Age] &lt;40, "Youth (20-39)", IF(tbl_figures[Age]&lt;60, "Adult (40-59)", IF(tbl_figures[Age]&gt;=60, "Elders (60-Above)"))))</f>
        <v>Elders (60-Above)</v>
      </c>
      <c r="H307" s="25">
        <f>IF(ISBLANK(Titanic_raw!F307),$C$423,Titanic_raw!F307)</f>
        <v>64</v>
      </c>
      <c r="I307">
        <f>Titanic_raw!G307</f>
        <v>1</v>
      </c>
      <c r="J307">
        <f>Titanic_raw!H307</f>
        <v>1</v>
      </c>
      <c r="K307">
        <f>Titanic_raw!I307</f>
        <v>112901</v>
      </c>
      <c r="L307" s="26">
        <f>IF(ISBLANK(Titanic_raw!J307),$C$427,Titanic_raw!J307)</f>
        <v>26.55</v>
      </c>
      <c r="M307" t="str">
        <f>Titanic_raw!K307</f>
        <v>B26</v>
      </c>
      <c r="N307" t="str">
        <f>IF(Titanic_raw!L307="S","Southampton",IF(Titanic_raw!L307="Q","Queenstown",IF(Titanic_raw!L307="C","Cherbourg")))</f>
        <v>Southampton</v>
      </c>
    </row>
    <row r="308" spans="1:14" x14ac:dyDescent="0.2">
      <c r="A308" s="18">
        <f>Titanic_raw!A308</f>
        <v>1198</v>
      </c>
      <c r="B308" s="17">
        <f>Titanic_raw!B308</f>
        <v>0</v>
      </c>
      <c r="C308" s="17" t="str">
        <f t="shared" si="4"/>
        <v>Dead</v>
      </c>
      <c r="D308" s="17" t="str">
        <f>CONCATENATE(Titanic_raw!C308, " Class")</f>
        <v>1 Class</v>
      </c>
      <c r="E308" s="19" t="str">
        <f>INDEX(tbl_passenger[Full Name],MATCH(A308,tbl_passenger[PassengerId],0))</f>
        <v>Mr. Hudson Joshua Creighton Allison</v>
      </c>
      <c r="F308" t="str">
        <f>INDEX(tbl_passenger[Sex],MATCH(A308,tbl_passenger[PassengerId],0))</f>
        <v>Male</v>
      </c>
      <c r="G308" t="str">
        <f>IF(tbl_figures[Age]&lt;20, "Teens (0-19)", IF(tbl_figures[Age] &lt;40, "Youth (20-39)", IF(tbl_figures[Age]&lt;60, "Adult (40-59)", IF(tbl_figures[Age]&gt;=60, "Elders (60-Above)"))))</f>
        <v>Youth (20-39)</v>
      </c>
      <c r="H308" s="25">
        <f>IF(ISBLANK(Titanic_raw!F308),$C$423,Titanic_raw!F308)</f>
        <v>30</v>
      </c>
      <c r="I308">
        <f>Titanic_raw!G308</f>
        <v>1</v>
      </c>
      <c r="J308">
        <f>Titanic_raw!H308</f>
        <v>2</v>
      </c>
      <c r="K308">
        <f>Titanic_raw!I308</f>
        <v>113781</v>
      </c>
      <c r="L308" s="26">
        <f>IF(ISBLANK(Titanic_raw!J308),$C$427,Titanic_raw!J308)</f>
        <v>151.55000000000001</v>
      </c>
      <c r="M308" t="str">
        <f>Titanic_raw!K308</f>
        <v>C22 C26</v>
      </c>
      <c r="N308" t="str">
        <f>IF(Titanic_raw!L308="S","Southampton",IF(Titanic_raw!L308="Q","Queenstown",IF(Titanic_raw!L308="C","Cherbourg")))</f>
        <v>Southampton</v>
      </c>
    </row>
    <row r="309" spans="1:14" x14ac:dyDescent="0.2">
      <c r="A309" s="18">
        <f>Titanic_raw!A309</f>
        <v>1199</v>
      </c>
      <c r="B309" s="21">
        <f>Titanic_raw!B309</f>
        <v>0</v>
      </c>
      <c r="C309" s="21" t="str">
        <f t="shared" si="4"/>
        <v>Dead</v>
      </c>
      <c r="D309" s="21" t="str">
        <f>CONCATENATE(Titanic_raw!C309, " Class")</f>
        <v>3 Class</v>
      </c>
      <c r="E309" s="23" t="str">
        <f>INDEX(tbl_passenger[Full Name],MATCH(A309,tbl_passenger[PassengerId],0))</f>
        <v>Master. Philip Frank Aks</v>
      </c>
      <c r="F309" t="str">
        <f>INDEX(tbl_passenger[Sex],MATCH(A309,tbl_passenger[PassengerId],0))</f>
        <v>Male</v>
      </c>
      <c r="G309" t="str">
        <f>IF(tbl_figures[Age]&lt;20, "Teens (0-19)", IF(tbl_figures[Age] &lt;40, "Youth (20-39)", IF(tbl_figures[Age]&lt;60, "Adult (40-59)", IF(tbl_figures[Age]&gt;=60, "Elders (60-Above)"))))</f>
        <v>Teens (0-19)</v>
      </c>
      <c r="H309" s="25">
        <f>IF(ISBLANK(Titanic_raw!F309),$C$423,Titanic_raw!F309)</f>
        <v>0.83</v>
      </c>
      <c r="I309">
        <f>Titanic_raw!G309</f>
        <v>0</v>
      </c>
      <c r="J309">
        <f>Titanic_raw!H309</f>
        <v>1</v>
      </c>
      <c r="K309">
        <f>Titanic_raw!I309</f>
        <v>392091</v>
      </c>
      <c r="L309" s="26">
        <f>IF(ISBLANK(Titanic_raw!J309),$C$427,Titanic_raw!J309)</f>
        <v>9.35</v>
      </c>
      <c r="M309">
        <f>Titanic_raw!K309</f>
        <v>0</v>
      </c>
      <c r="N309" t="str">
        <f>IF(Titanic_raw!L309="S","Southampton",IF(Titanic_raw!L309="Q","Queenstown",IF(Titanic_raw!L309="C","Cherbourg")))</f>
        <v>Southampton</v>
      </c>
    </row>
    <row r="310" spans="1:14" x14ac:dyDescent="0.2">
      <c r="A310" s="18">
        <f>Titanic_raw!A310</f>
        <v>1200</v>
      </c>
      <c r="B310" s="17">
        <f>Titanic_raw!B310</f>
        <v>0</v>
      </c>
      <c r="C310" s="17" t="str">
        <f t="shared" si="4"/>
        <v>Dead</v>
      </c>
      <c r="D310" s="17" t="str">
        <f>CONCATENATE(Titanic_raw!C310, " Class")</f>
        <v>1 Class</v>
      </c>
      <c r="E310" s="19" t="str">
        <f>INDEX(tbl_passenger[Full Name],MATCH(A310,tbl_passenger[PassengerId],0))</f>
        <v>Mr. Charles Melville Hays</v>
      </c>
      <c r="F310" t="str">
        <f>INDEX(tbl_passenger[Sex],MATCH(A310,tbl_passenger[PassengerId],0))</f>
        <v>Male</v>
      </c>
      <c r="G310" t="str">
        <f>IF(tbl_figures[Age]&lt;20, "Teens (0-19)", IF(tbl_figures[Age] &lt;40, "Youth (20-39)", IF(tbl_figures[Age]&lt;60, "Adult (40-59)", IF(tbl_figures[Age]&gt;=60, "Elders (60-Above)"))))</f>
        <v>Adult (40-59)</v>
      </c>
      <c r="H310" s="25">
        <f>IF(ISBLANK(Titanic_raw!F310),$C$423,Titanic_raw!F310)</f>
        <v>55</v>
      </c>
      <c r="I310">
        <f>Titanic_raw!G310</f>
        <v>1</v>
      </c>
      <c r="J310">
        <f>Titanic_raw!H310</f>
        <v>1</v>
      </c>
      <c r="K310">
        <f>Titanic_raw!I310</f>
        <v>12749</v>
      </c>
      <c r="L310" s="26">
        <f>IF(ISBLANK(Titanic_raw!J310),$C$427,Titanic_raw!J310)</f>
        <v>93.5</v>
      </c>
      <c r="M310" t="str">
        <f>Titanic_raw!K310</f>
        <v>B69</v>
      </c>
      <c r="N310" t="str">
        <f>IF(Titanic_raw!L310="S","Southampton",IF(Titanic_raw!L310="Q","Queenstown",IF(Titanic_raw!L310="C","Cherbourg")))</f>
        <v>Southampton</v>
      </c>
    </row>
    <row r="311" spans="1:14" x14ac:dyDescent="0.2">
      <c r="A311" s="18">
        <f>Titanic_raw!A311</f>
        <v>1201</v>
      </c>
      <c r="B311" s="21">
        <f>Titanic_raw!B311</f>
        <v>1</v>
      </c>
      <c r="C311" s="21" t="str">
        <f t="shared" si="4"/>
        <v>Survived</v>
      </c>
      <c r="D311" s="21" t="str">
        <f>CONCATENATE(Titanic_raw!C311, " Class")</f>
        <v>3 Class</v>
      </c>
      <c r="E311" s="23" t="str">
        <f>INDEX(tbl_passenger[Full Name],MATCH(A311,tbl_passenger[PassengerId],0))</f>
        <v>Mrs. Claus Peter (Jennie L Howard) Hansen</v>
      </c>
      <c r="F311" t="str">
        <f>INDEX(tbl_passenger[Sex],MATCH(A311,tbl_passenger[PassengerId],0))</f>
        <v>Female</v>
      </c>
      <c r="G311" t="str">
        <f>IF(tbl_figures[Age]&lt;20, "Teens (0-19)", IF(tbl_figures[Age] &lt;40, "Youth (20-39)", IF(tbl_figures[Age]&lt;60, "Adult (40-59)", IF(tbl_figures[Age]&gt;=60, "Elders (60-Above)"))))</f>
        <v>Adult (40-59)</v>
      </c>
      <c r="H311" s="25">
        <f>IF(ISBLANK(Titanic_raw!F311),$C$423,Titanic_raw!F311)</f>
        <v>45</v>
      </c>
      <c r="I311">
        <f>Titanic_raw!G311</f>
        <v>1</v>
      </c>
      <c r="J311">
        <f>Titanic_raw!H311</f>
        <v>0</v>
      </c>
      <c r="K311">
        <f>Titanic_raw!I311</f>
        <v>350026</v>
      </c>
      <c r="L311" s="26">
        <f>IF(ISBLANK(Titanic_raw!J311),$C$427,Titanic_raw!J311)</f>
        <v>14.1083</v>
      </c>
      <c r="M311">
        <f>Titanic_raw!K311</f>
        <v>0</v>
      </c>
      <c r="N311" t="str">
        <f>IF(Titanic_raw!L311="S","Southampton",IF(Titanic_raw!L311="Q","Queenstown",IF(Titanic_raw!L311="C","Cherbourg")))</f>
        <v>Southampton</v>
      </c>
    </row>
    <row r="312" spans="1:14" x14ac:dyDescent="0.2">
      <c r="A312" s="18">
        <f>Titanic_raw!A312</f>
        <v>1202</v>
      </c>
      <c r="B312" s="17">
        <f>Titanic_raw!B312</f>
        <v>0</v>
      </c>
      <c r="C312" s="17" t="str">
        <f t="shared" si="4"/>
        <v>Dead</v>
      </c>
      <c r="D312" s="17" t="str">
        <f>CONCATENATE(Titanic_raw!C312, " Class")</f>
        <v>3 Class</v>
      </c>
      <c r="E312" s="19" t="str">
        <f>INDEX(tbl_passenger[Full Name],MATCH(A312,tbl_passenger[PassengerId],0))</f>
        <v>Mr. Jego Grga Cacic</v>
      </c>
      <c r="F312" t="str">
        <f>INDEX(tbl_passenger[Sex],MATCH(A312,tbl_passenger[PassengerId],0))</f>
        <v>Male</v>
      </c>
      <c r="G312" t="str">
        <f>IF(tbl_figures[Age]&lt;20, "Teens (0-19)", IF(tbl_figures[Age] &lt;40, "Youth (20-39)", IF(tbl_figures[Age]&lt;60, "Adult (40-59)", IF(tbl_figures[Age]&gt;=60, "Elders (60-Above)"))))</f>
        <v>Teens (0-19)</v>
      </c>
      <c r="H312" s="25">
        <f>IF(ISBLANK(Titanic_raw!F312),$C$423,Titanic_raw!F312)</f>
        <v>18</v>
      </c>
      <c r="I312">
        <f>Titanic_raw!G312</f>
        <v>0</v>
      </c>
      <c r="J312">
        <f>Titanic_raw!H312</f>
        <v>0</v>
      </c>
      <c r="K312">
        <f>Titanic_raw!I312</f>
        <v>315091</v>
      </c>
      <c r="L312" s="26">
        <f>IF(ISBLANK(Titanic_raw!J312),$C$427,Titanic_raw!J312)</f>
        <v>8.6624999999999996</v>
      </c>
      <c r="M312">
        <f>Titanic_raw!K312</f>
        <v>0</v>
      </c>
      <c r="N312" t="str">
        <f>IF(Titanic_raw!L312="S","Southampton",IF(Titanic_raw!L312="Q","Queenstown",IF(Titanic_raw!L312="C","Cherbourg")))</f>
        <v>Southampton</v>
      </c>
    </row>
    <row r="313" spans="1:14" x14ac:dyDescent="0.2">
      <c r="A313" s="18">
        <f>Titanic_raw!A313</f>
        <v>1203</v>
      </c>
      <c r="B313" s="21">
        <f>Titanic_raw!B313</f>
        <v>0</v>
      </c>
      <c r="C313" s="21" t="str">
        <f t="shared" si="4"/>
        <v>Dead</v>
      </c>
      <c r="D313" s="21" t="str">
        <f>CONCATENATE(Titanic_raw!C313, " Class")</f>
        <v>3 Class</v>
      </c>
      <c r="E313" s="23" t="str">
        <f>INDEX(tbl_passenger[Full Name],MATCH(A313,tbl_passenger[PassengerId],0))</f>
        <v>Mr. David Vartanian</v>
      </c>
      <c r="F313" t="str">
        <f>INDEX(tbl_passenger[Sex],MATCH(A313,tbl_passenger[PassengerId],0))</f>
        <v>Male</v>
      </c>
      <c r="G313" t="str">
        <f>IF(tbl_figures[Age]&lt;20, "Teens (0-19)", IF(tbl_figures[Age] &lt;40, "Youth (20-39)", IF(tbl_figures[Age]&lt;60, "Adult (40-59)", IF(tbl_figures[Age]&gt;=60, "Elders (60-Above)"))))</f>
        <v>Youth (20-39)</v>
      </c>
      <c r="H313" s="25">
        <f>IF(ISBLANK(Titanic_raw!F313),$C$423,Titanic_raw!F313)</f>
        <v>22</v>
      </c>
      <c r="I313">
        <f>Titanic_raw!G313</f>
        <v>0</v>
      </c>
      <c r="J313">
        <f>Titanic_raw!H313</f>
        <v>0</v>
      </c>
      <c r="K313">
        <f>Titanic_raw!I313</f>
        <v>2658</v>
      </c>
      <c r="L313" s="26">
        <f>IF(ISBLANK(Titanic_raw!J313),$C$427,Titanic_raw!J313)</f>
        <v>7.2249999999999996</v>
      </c>
      <c r="M313">
        <f>Titanic_raw!K313</f>
        <v>0</v>
      </c>
      <c r="N313" t="str">
        <f>IF(Titanic_raw!L313="S","Southampton",IF(Titanic_raw!L313="Q","Queenstown",IF(Titanic_raw!L313="C","Cherbourg")))</f>
        <v>Cherbourg</v>
      </c>
    </row>
    <row r="314" spans="1:14" x14ac:dyDescent="0.2">
      <c r="A314" s="18">
        <f>Titanic_raw!A314</f>
        <v>1204</v>
      </c>
      <c r="B314" s="17">
        <f>Titanic_raw!B314</f>
        <v>0</v>
      </c>
      <c r="C314" s="17" t="str">
        <f t="shared" si="4"/>
        <v>Dead</v>
      </c>
      <c r="D314" s="17" t="str">
        <f>CONCATENATE(Titanic_raw!C314, " Class")</f>
        <v>3 Class</v>
      </c>
      <c r="E314" s="19" t="str">
        <f>INDEX(tbl_passenger[Full Name],MATCH(A314,tbl_passenger[PassengerId],0))</f>
        <v>Mr. Harry Sadowitz</v>
      </c>
      <c r="F314" t="str">
        <f>INDEX(tbl_passenger[Sex],MATCH(A314,tbl_passenger[PassengerId],0))</f>
        <v>Male</v>
      </c>
      <c r="G314" t="str">
        <f>IF(tbl_figures[Age]&lt;20, "Teens (0-19)", IF(tbl_figures[Age] &lt;40, "Youth (20-39)", IF(tbl_figures[Age]&lt;60, "Adult (40-59)", IF(tbl_figures[Age]&gt;=60, "Elders (60-Above)"))))</f>
        <v>Youth (20-39)</v>
      </c>
      <c r="H314" s="25">
        <f>IF(ISBLANK(Titanic_raw!F314),$C$423,Titanic_raw!F314)</f>
        <v>30.272590325616491</v>
      </c>
      <c r="I314">
        <f>Titanic_raw!G314</f>
        <v>0</v>
      </c>
      <c r="J314">
        <f>Titanic_raw!H314</f>
        <v>0</v>
      </c>
      <c r="K314" t="str">
        <f>Titanic_raw!I314</f>
        <v>LP 1588</v>
      </c>
      <c r="L314" s="26">
        <f>IF(ISBLANK(Titanic_raw!J314),$C$427,Titanic_raw!J314)</f>
        <v>7.5750000000000002</v>
      </c>
      <c r="M314">
        <f>Titanic_raw!K314</f>
        <v>0</v>
      </c>
      <c r="N314" t="str">
        <f>IF(Titanic_raw!L314="S","Southampton",IF(Titanic_raw!L314="Q","Queenstown",IF(Titanic_raw!L314="C","Cherbourg")))</f>
        <v>Southampton</v>
      </c>
    </row>
    <row r="315" spans="1:14" x14ac:dyDescent="0.2">
      <c r="A315" s="18">
        <f>Titanic_raw!A315</f>
        <v>1205</v>
      </c>
      <c r="B315" s="21">
        <f>Titanic_raw!B315</f>
        <v>1</v>
      </c>
      <c r="C315" s="21" t="str">
        <f t="shared" si="4"/>
        <v>Survived</v>
      </c>
      <c r="D315" s="21" t="str">
        <f>CONCATENATE(Titanic_raw!C315, " Class")</f>
        <v>3 Class</v>
      </c>
      <c r="E315" s="23" t="str">
        <f>INDEX(tbl_passenger[Full Name],MATCH(A315,tbl_passenger[PassengerId],0))</f>
        <v>Miss. Jeannie Carr</v>
      </c>
      <c r="F315" t="str">
        <f>INDEX(tbl_passenger[Sex],MATCH(A315,tbl_passenger[PassengerId],0))</f>
        <v>Female</v>
      </c>
      <c r="G315" t="str">
        <f>IF(tbl_figures[Age]&lt;20, "Teens (0-19)", IF(tbl_figures[Age] &lt;40, "Youth (20-39)", IF(tbl_figures[Age]&lt;60, "Adult (40-59)", IF(tbl_figures[Age]&gt;=60, "Elders (60-Above)"))))</f>
        <v>Youth (20-39)</v>
      </c>
      <c r="H315" s="25">
        <f>IF(ISBLANK(Titanic_raw!F315),$C$423,Titanic_raw!F315)</f>
        <v>37</v>
      </c>
      <c r="I315">
        <f>Titanic_raw!G315</f>
        <v>0</v>
      </c>
      <c r="J315">
        <f>Titanic_raw!H315</f>
        <v>0</v>
      </c>
      <c r="K315">
        <f>Titanic_raw!I315</f>
        <v>368364</v>
      </c>
      <c r="L315" s="26">
        <f>IF(ISBLANK(Titanic_raw!J315),$C$427,Titanic_raw!J315)</f>
        <v>7.75</v>
      </c>
      <c r="M315">
        <f>Titanic_raw!K315</f>
        <v>0</v>
      </c>
      <c r="N315" t="str">
        <f>IF(Titanic_raw!L315="S","Southampton",IF(Titanic_raw!L315="Q","Queenstown",IF(Titanic_raw!L315="C","Cherbourg")))</f>
        <v>Queenstown</v>
      </c>
    </row>
    <row r="316" spans="1:14" x14ac:dyDescent="0.2">
      <c r="A316" s="18">
        <f>Titanic_raw!A316</f>
        <v>1206</v>
      </c>
      <c r="B316" s="17">
        <f>Titanic_raw!B316</f>
        <v>1</v>
      </c>
      <c r="C316" s="17" t="str">
        <f t="shared" si="4"/>
        <v>Survived</v>
      </c>
      <c r="D316" s="17" t="str">
        <f>CONCATENATE(Titanic_raw!C316, " Class")</f>
        <v>1 Class</v>
      </c>
      <c r="E316" s="19" t="str">
        <f>INDEX(tbl_passenger[Full Name],MATCH(A316,tbl_passenger[PassengerId],0))</f>
        <v>Mrs. John Stuart (Ella Holmes) White</v>
      </c>
      <c r="F316" t="str">
        <f>INDEX(tbl_passenger[Sex],MATCH(A316,tbl_passenger[PassengerId],0))</f>
        <v>Female</v>
      </c>
      <c r="G316" t="str">
        <f>IF(tbl_figures[Age]&lt;20, "Teens (0-19)", IF(tbl_figures[Age] &lt;40, "Youth (20-39)", IF(tbl_figures[Age]&lt;60, "Adult (40-59)", IF(tbl_figures[Age]&gt;=60, "Elders (60-Above)"))))</f>
        <v>Adult (40-59)</v>
      </c>
      <c r="H316" s="25">
        <f>IF(ISBLANK(Titanic_raw!F316),$C$423,Titanic_raw!F316)</f>
        <v>55</v>
      </c>
      <c r="I316">
        <f>Titanic_raw!G316</f>
        <v>0</v>
      </c>
      <c r="J316">
        <f>Titanic_raw!H316</f>
        <v>0</v>
      </c>
      <c r="K316" t="str">
        <f>Titanic_raw!I316</f>
        <v>PC 17760</v>
      </c>
      <c r="L316" s="26">
        <f>IF(ISBLANK(Titanic_raw!J316),$C$427,Titanic_raw!J316)</f>
        <v>135.63329999999999</v>
      </c>
      <c r="M316" t="str">
        <f>Titanic_raw!K316</f>
        <v>C32</v>
      </c>
      <c r="N316" t="str">
        <f>IF(Titanic_raw!L316="S","Southampton",IF(Titanic_raw!L316="Q","Queenstown",IF(Titanic_raw!L316="C","Cherbourg")))</f>
        <v>Cherbourg</v>
      </c>
    </row>
    <row r="317" spans="1:14" x14ac:dyDescent="0.2">
      <c r="A317" s="18">
        <f>Titanic_raw!A317</f>
        <v>1207</v>
      </c>
      <c r="B317" s="21">
        <f>Titanic_raw!B317</f>
        <v>1</v>
      </c>
      <c r="C317" s="21" t="str">
        <f t="shared" si="4"/>
        <v>Survived</v>
      </c>
      <c r="D317" s="21" t="str">
        <f>CONCATENATE(Titanic_raw!C317, " Class")</f>
        <v>3 Class</v>
      </c>
      <c r="E317" s="23" t="str">
        <f>INDEX(tbl_passenger[Full Name],MATCH(A317,tbl_passenger[PassengerId],0))</f>
        <v>Miss. Kate Hagardon</v>
      </c>
      <c r="F317" t="str">
        <f>INDEX(tbl_passenger[Sex],MATCH(A317,tbl_passenger[PassengerId],0))</f>
        <v>Female</v>
      </c>
      <c r="G317" t="str">
        <f>IF(tbl_figures[Age]&lt;20, "Teens (0-19)", IF(tbl_figures[Age] &lt;40, "Youth (20-39)", IF(tbl_figures[Age]&lt;60, "Adult (40-59)", IF(tbl_figures[Age]&gt;=60, "Elders (60-Above)"))))</f>
        <v>Teens (0-19)</v>
      </c>
      <c r="H317" s="25">
        <f>IF(ISBLANK(Titanic_raw!F317),$C$423,Titanic_raw!F317)</f>
        <v>17</v>
      </c>
      <c r="I317">
        <f>Titanic_raw!G317</f>
        <v>0</v>
      </c>
      <c r="J317">
        <f>Titanic_raw!H317</f>
        <v>0</v>
      </c>
      <c r="K317" t="str">
        <f>Titanic_raw!I317</f>
        <v>AQ/3. 30631</v>
      </c>
      <c r="L317" s="26">
        <f>IF(ISBLANK(Titanic_raw!J317),$C$427,Titanic_raw!J317)</f>
        <v>7.7332999999999998</v>
      </c>
      <c r="M317">
        <f>Titanic_raw!K317</f>
        <v>0</v>
      </c>
      <c r="N317" t="str">
        <f>IF(Titanic_raw!L317="S","Southampton",IF(Titanic_raw!L317="Q","Queenstown",IF(Titanic_raw!L317="C","Cherbourg")))</f>
        <v>Queenstown</v>
      </c>
    </row>
    <row r="318" spans="1:14" x14ac:dyDescent="0.2">
      <c r="A318" s="18">
        <f>Titanic_raw!A318</f>
        <v>1208</v>
      </c>
      <c r="B318" s="17">
        <f>Titanic_raw!B318</f>
        <v>0</v>
      </c>
      <c r="C318" s="17" t="str">
        <f t="shared" si="4"/>
        <v>Dead</v>
      </c>
      <c r="D318" s="17" t="str">
        <f>CONCATENATE(Titanic_raw!C318, " Class")</f>
        <v>1 Class</v>
      </c>
      <c r="E318" s="19" t="str">
        <f>INDEX(tbl_passenger[Full Name],MATCH(A318,tbl_passenger[PassengerId],0))</f>
        <v>Mr. William Augustus Spencer</v>
      </c>
      <c r="F318" t="str">
        <f>INDEX(tbl_passenger[Sex],MATCH(A318,tbl_passenger[PassengerId],0))</f>
        <v>Male</v>
      </c>
      <c r="G318" t="str">
        <f>IF(tbl_figures[Age]&lt;20, "Teens (0-19)", IF(tbl_figures[Age] &lt;40, "Youth (20-39)", IF(tbl_figures[Age]&lt;60, "Adult (40-59)", IF(tbl_figures[Age]&gt;=60, "Elders (60-Above)"))))</f>
        <v>Adult (40-59)</v>
      </c>
      <c r="H318" s="25">
        <f>IF(ISBLANK(Titanic_raw!F318),$C$423,Titanic_raw!F318)</f>
        <v>57</v>
      </c>
      <c r="I318">
        <f>Titanic_raw!G318</f>
        <v>1</v>
      </c>
      <c r="J318">
        <f>Titanic_raw!H318</f>
        <v>0</v>
      </c>
      <c r="K318" t="str">
        <f>Titanic_raw!I318</f>
        <v>PC 17569</v>
      </c>
      <c r="L318" s="26">
        <f>IF(ISBLANK(Titanic_raw!J318),$C$427,Titanic_raw!J318)</f>
        <v>146.52080000000001</v>
      </c>
      <c r="M318" t="str">
        <f>Titanic_raw!K318</f>
        <v>B78</v>
      </c>
      <c r="N318" t="str">
        <f>IF(Titanic_raw!L318="S","Southampton",IF(Titanic_raw!L318="Q","Queenstown",IF(Titanic_raw!L318="C","Cherbourg")))</f>
        <v>Cherbourg</v>
      </c>
    </row>
    <row r="319" spans="1:14" x14ac:dyDescent="0.2">
      <c r="A319" s="18">
        <f>Titanic_raw!A319</f>
        <v>1209</v>
      </c>
      <c r="B319" s="21">
        <f>Titanic_raw!B319</f>
        <v>0</v>
      </c>
      <c r="C319" s="21" t="str">
        <f t="shared" si="4"/>
        <v>Dead</v>
      </c>
      <c r="D319" s="21" t="str">
        <f>CONCATENATE(Titanic_raw!C319, " Class")</f>
        <v>2 Class</v>
      </c>
      <c r="E319" s="23" t="str">
        <f>INDEX(tbl_passenger[Full Name],MATCH(A319,tbl_passenger[PassengerId],0))</f>
        <v>Mr. Reginald Harry Rogers</v>
      </c>
      <c r="F319" t="str">
        <f>INDEX(tbl_passenger[Sex],MATCH(A319,tbl_passenger[PassengerId],0))</f>
        <v>Male</v>
      </c>
      <c r="G319" t="str">
        <f>IF(tbl_figures[Age]&lt;20, "Teens (0-19)", IF(tbl_figures[Age] &lt;40, "Youth (20-39)", IF(tbl_figures[Age]&lt;60, "Adult (40-59)", IF(tbl_figures[Age]&gt;=60, "Elders (60-Above)"))))</f>
        <v>Teens (0-19)</v>
      </c>
      <c r="H319" s="25">
        <f>IF(ISBLANK(Titanic_raw!F319),$C$423,Titanic_raw!F319)</f>
        <v>19</v>
      </c>
      <c r="I319">
        <f>Titanic_raw!G319</f>
        <v>0</v>
      </c>
      <c r="J319">
        <f>Titanic_raw!H319</f>
        <v>0</v>
      </c>
      <c r="K319">
        <f>Titanic_raw!I319</f>
        <v>28004</v>
      </c>
      <c r="L319" s="26">
        <f>IF(ISBLANK(Titanic_raw!J319),$C$427,Titanic_raw!J319)</f>
        <v>10.5</v>
      </c>
      <c r="M319">
        <f>Titanic_raw!K319</f>
        <v>0</v>
      </c>
      <c r="N319" t="str">
        <f>IF(Titanic_raw!L319="S","Southampton",IF(Titanic_raw!L319="Q","Queenstown",IF(Titanic_raw!L319="C","Cherbourg")))</f>
        <v>Southampton</v>
      </c>
    </row>
    <row r="320" spans="1:14" x14ac:dyDescent="0.2">
      <c r="A320" s="18">
        <f>Titanic_raw!A320</f>
        <v>1210</v>
      </c>
      <c r="B320" s="17">
        <f>Titanic_raw!B320</f>
        <v>0</v>
      </c>
      <c r="C320" s="17" t="str">
        <f t="shared" si="4"/>
        <v>Dead</v>
      </c>
      <c r="D320" s="17" t="str">
        <f>CONCATENATE(Titanic_raw!C320, " Class")</f>
        <v>3 Class</v>
      </c>
      <c r="E320" s="19" t="str">
        <f>INDEX(tbl_passenger[Full Name],MATCH(A320,tbl_passenger[PassengerId],0))</f>
        <v>Mr. Nils Hilding Jonsson</v>
      </c>
      <c r="F320" t="str">
        <f>INDEX(tbl_passenger[Sex],MATCH(A320,tbl_passenger[PassengerId],0))</f>
        <v>Male</v>
      </c>
      <c r="G320" t="str">
        <f>IF(tbl_figures[Age]&lt;20, "Teens (0-19)", IF(tbl_figures[Age] &lt;40, "Youth (20-39)", IF(tbl_figures[Age]&lt;60, "Adult (40-59)", IF(tbl_figures[Age]&gt;=60, "Elders (60-Above)"))))</f>
        <v>Youth (20-39)</v>
      </c>
      <c r="H320" s="25">
        <f>IF(ISBLANK(Titanic_raw!F320),$C$423,Titanic_raw!F320)</f>
        <v>27</v>
      </c>
      <c r="I320">
        <f>Titanic_raw!G320</f>
        <v>0</v>
      </c>
      <c r="J320">
        <f>Titanic_raw!H320</f>
        <v>0</v>
      </c>
      <c r="K320">
        <f>Titanic_raw!I320</f>
        <v>350408</v>
      </c>
      <c r="L320" s="26">
        <f>IF(ISBLANK(Titanic_raw!J320),$C$427,Titanic_raw!J320)</f>
        <v>7.8541999999999996</v>
      </c>
      <c r="M320">
        <f>Titanic_raw!K320</f>
        <v>0</v>
      </c>
      <c r="N320" t="str">
        <f>IF(Titanic_raw!L320="S","Southampton",IF(Titanic_raw!L320="Q","Queenstown",IF(Titanic_raw!L320="C","Cherbourg")))</f>
        <v>Southampton</v>
      </c>
    </row>
    <row r="321" spans="1:14" x14ac:dyDescent="0.2">
      <c r="A321" s="18">
        <f>Titanic_raw!A321</f>
        <v>1211</v>
      </c>
      <c r="B321" s="21">
        <f>Titanic_raw!B321</f>
        <v>0</v>
      </c>
      <c r="C321" s="21" t="str">
        <f t="shared" si="4"/>
        <v>Dead</v>
      </c>
      <c r="D321" s="21" t="str">
        <f>CONCATENATE(Titanic_raw!C321, " Class")</f>
        <v>2 Class</v>
      </c>
      <c r="E321" s="23" t="str">
        <f>INDEX(tbl_passenger[Full Name],MATCH(A321,tbl_passenger[PassengerId],0))</f>
        <v>Mr. Ernest Wilfred Jefferys</v>
      </c>
      <c r="F321" t="str">
        <f>INDEX(tbl_passenger[Sex],MATCH(A321,tbl_passenger[PassengerId],0))</f>
        <v>Male</v>
      </c>
      <c r="G321" t="str">
        <f>IF(tbl_figures[Age]&lt;20, "Teens (0-19)", IF(tbl_figures[Age] &lt;40, "Youth (20-39)", IF(tbl_figures[Age]&lt;60, "Adult (40-59)", IF(tbl_figures[Age]&gt;=60, "Elders (60-Above)"))))</f>
        <v>Youth (20-39)</v>
      </c>
      <c r="H321" s="25">
        <f>IF(ISBLANK(Titanic_raw!F321),$C$423,Titanic_raw!F321)</f>
        <v>22</v>
      </c>
      <c r="I321">
        <f>Titanic_raw!G321</f>
        <v>2</v>
      </c>
      <c r="J321">
        <f>Titanic_raw!H321</f>
        <v>0</v>
      </c>
      <c r="K321" t="str">
        <f>Titanic_raw!I321</f>
        <v>C.A. 31029</v>
      </c>
      <c r="L321" s="26">
        <f>IF(ISBLANK(Titanic_raw!J321),$C$427,Titanic_raw!J321)</f>
        <v>31.5</v>
      </c>
      <c r="M321">
        <f>Titanic_raw!K321</f>
        <v>0</v>
      </c>
      <c r="N321" t="str">
        <f>IF(Titanic_raw!L321="S","Southampton",IF(Titanic_raw!L321="Q","Queenstown",IF(Titanic_raw!L321="C","Cherbourg")))</f>
        <v>Southampton</v>
      </c>
    </row>
    <row r="322" spans="1:14" x14ac:dyDescent="0.2">
      <c r="A322" s="18">
        <f>Titanic_raw!A322</f>
        <v>1212</v>
      </c>
      <c r="B322" s="17">
        <f>Titanic_raw!B322</f>
        <v>0</v>
      </c>
      <c r="C322" s="17" t="str">
        <f t="shared" ref="C322:C385" si="5">IF(B322=0,"Dead","Survived")</f>
        <v>Dead</v>
      </c>
      <c r="D322" s="17" t="str">
        <f>CONCATENATE(Titanic_raw!C322, " Class")</f>
        <v>3 Class</v>
      </c>
      <c r="E322" s="19" t="str">
        <f>INDEX(tbl_passenger[Full Name],MATCH(A322,tbl_passenger[PassengerId],0))</f>
        <v>Mr. Johan Samuel Andersson</v>
      </c>
      <c r="F322" t="str">
        <f>INDEX(tbl_passenger[Sex],MATCH(A322,tbl_passenger[PassengerId],0))</f>
        <v>Male</v>
      </c>
      <c r="G322" t="str">
        <f>IF(tbl_figures[Age]&lt;20, "Teens (0-19)", IF(tbl_figures[Age] &lt;40, "Youth (20-39)", IF(tbl_figures[Age]&lt;60, "Adult (40-59)", IF(tbl_figures[Age]&gt;=60, "Elders (60-Above)"))))</f>
        <v>Youth (20-39)</v>
      </c>
      <c r="H322" s="25">
        <f>IF(ISBLANK(Titanic_raw!F322),$C$423,Titanic_raw!F322)</f>
        <v>26</v>
      </c>
      <c r="I322">
        <f>Titanic_raw!G322</f>
        <v>0</v>
      </c>
      <c r="J322">
        <f>Titanic_raw!H322</f>
        <v>0</v>
      </c>
      <c r="K322">
        <f>Titanic_raw!I322</f>
        <v>347075</v>
      </c>
      <c r="L322" s="26">
        <f>IF(ISBLANK(Titanic_raw!J322),$C$427,Titanic_raw!J322)</f>
        <v>7.7750000000000004</v>
      </c>
      <c r="M322">
        <f>Titanic_raw!K322</f>
        <v>0</v>
      </c>
      <c r="N322" t="str">
        <f>IF(Titanic_raw!L322="S","Southampton",IF(Titanic_raw!L322="Q","Queenstown",IF(Titanic_raw!L322="C","Cherbourg")))</f>
        <v>Southampton</v>
      </c>
    </row>
    <row r="323" spans="1:14" x14ac:dyDescent="0.2">
      <c r="A323" s="18">
        <f>Titanic_raw!A323</f>
        <v>1213</v>
      </c>
      <c r="B323" s="21">
        <f>Titanic_raw!B323</f>
        <v>0</v>
      </c>
      <c r="C323" s="21" t="str">
        <f t="shared" si="5"/>
        <v>Dead</v>
      </c>
      <c r="D323" s="21" t="str">
        <f>CONCATENATE(Titanic_raw!C323, " Class")</f>
        <v>3 Class</v>
      </c>
      <c r="E323" s="23" t="str">
        <f>INDEX(tbl_passenger[Full Name],MATCH(A323,tbl_passenger[PassengerId],0))</f>
        <v>Mr. Neshan Krekorian</v>
      </c>
      <c r="F323" t="str">
        <f>INDEX(tbl_passenger[Sex],MATCH(A323,tbl_passenger[PassengerId],0))</f>
        <v>Male</v>
      </c>
      <c r="G323" t="str">
        <f>IF(tbl_figures[Age]&lt;20, "Teens (0-19)", IF(tbl_figures[Age] &lt;40, "Youth (20-39)", IF(tbl_figures[Age]&lt;60, "Adult (40-59)", IF(tbl_figures[Age]&gt;=60, "Elders (60-Above)"))))</f>
        <v>Youth (20-39)</v>
      </c>
      <c r="H323" s="25">
        <f>IF(ISBLANK(Titanic_raw!F323),$C$423,Titanic_raw!F323)</f>
        <v>25</v>
      </c>
      <c r="I323">
        <f>Titanic_raw!G323</f>
        <v>0</v>
      </c>
      <c r="J323">
        <f>Titanic_raw!H323</f>
        <v>0</v>
      </c>
      <c r="K323">
        <f>Titanic_raw!I323</f>
        <v>2654</v>
      </c>
      <c r="L323" s="26">
        <f>IF(ISBLANK(Titanic_raw!J323),$C$427,Titanic_raw!J323)</f>
        <v>7.2291999999999996</v>
      </c>
      <c r="M323" t="str">
        <f>Titanic_raw!K323</f>
        <v>F E57</v>
      </c>
      <c r="N323" t="str">
        <f>IF(Titanic_raw!L323="S","Southampton",IF(Titanic_raw!L323="Q","Queenstown",IF(Titanic_raw!L323="C","Cherbourg")))</f>
        <v>Cherbourg</v>
      </c>
    </row>
    <row r="324" spans="1:14" x14ac:dyDescent="0.2">
      <c r="A324" s="18">
        <f>Titanic_raw!A324</f>
        <v>1214</v>
      </c>
      <c r="B324" s="17">
        <f>Titanic_raw!B324</f>
        <v>0</v>
      </c>
      <c r="C324" s="17" t="str">
        <f t="shared" si="5"/>
        <v>Dead</v>
      </c>
      <c r="D324" s="17" t="str">
        <f>CONCATENATE(Titanic_raw!C324, " Class")</f>
        <v>2 Class</v>
      </c>
      <c r="E324" s="19" t="str">
        <f>INDEX(tbl_passenger[Full Name],MATCH(A324,tbl_passenger[PassengerId],0))</f>
        <v>Mr. Israel Nesson</v>
      </c>
      <c r="F324" t="str">
        <f>INDEX(tbl_passenger[Sex],MATCH(A324,tbl_passenger[PassengerId],0))</f>
        <v>Male</v>
      </c>
      <c r="G324" t="str">
        <f>IF(tbl_figures[Age]&lt;20, "Teens (0-19)", IF(tbl_figures[Age] &lt;40, "Youth (20-39)", IF(tbl_figures[Age]&lt;60, "Adult (40-59)", IF(tbl_figures[Age]&gt;=60, "Elders (60-Above)"))))</f>
        <v>Youth (20-39)</v>
      </c>
      <c r="H324" s="25">
        <f>IF(ISBLANK(Titanic_raw!F324),$C$423,Titanic_raw!F324)</f>
        <v>26</v>
      </c>
      <c r="I324">
        <f>Titanic_raw!G324</f>
        <v>0</v>
      </c>
      <c r="J324">
        <f>Titanic_raw!H324</f>
        <v>0</v>
      </c>
      <c r="K324">
        <f>Titanic_raw!I324</f>
        <v>244368</v>
      </c>
      <c r="L324" s="26">
        <f>IF(ISBLANK(Titanic_raw!J324),$C$427,Titanic_raw!J324)</f>
        <v>13</v>
      </c>
      <c r="M324" t="str">
        <f>Titanic_raw!K324</f>
        <v>F2</v>
      </c>
      <c r="N324" t="str">
        <f>IF(Titanic_raw!L324="S","Southampton",IF(Titanic_raw!L324="Q","Queenstown",IF(Titanic_raw!L324="C","Cherbourg")))</f>
        <v>Southampton</v>
      </c>
    </row>
    <row r="325" spans="1:14" x14ac:dyDescent="0.2">
      <c r="A325" s="18">
        <f>Titanic_raw!A325</f>
        <v>1215</v>
      </c>
      <c r="B325" s="21">
        <f>Titanic_raw!B325</f>
        <v>0</v>
      </c>
      <c r="C325" s="21" t="str">
        <f t="shared" si="5"/>
        <v>Dead</v>
      </c>
      <c r="D325" s="21" t="str">
        <f>CONCATENATE(Titanic_raw!C325, " Class")</f>
        <v>1 Class</v>
      </c>
      <c r="E325" s="23" t="str">
        <f>INDEX(tbl_passenger[Full Name],MATCH(A325,tbl_passenger[PassengerId],0))</f>
        <v>Mr. Alfred G Rowe</v>
      </c>
      <c r="F325" t="str">
        <f>INDEX(tbl_passenger[Sex],MATCH(A325,tbl_passenger[PassengerId],0))</f>
        <v>Male</v>
      </c>
      <c r="G325" t="str">
        <f>IF(tbl_figures[Age]&lt;20, "Teens (0-19)", IF(tbl_figures[Age] &lt;40, "Youth (20-39)", IF(tbl_figures[Age]&lt;60, "Adult (40-59)", IF(tbl_figures[Age]&gt;=60, "Elders (60-Above)"))))</f>
        <v>Youth (20-39)</v>
      </c>
      <c r="H325" s="25">
        <f>IF(ISBLANK(Titanic_raw!F325),$C$423,Titanic_raw!F325)</f>
        <v>33</v>
      </c>
      <c r="I325">
        <f>Titanic_raw!G325</f>
        <v>0</v>
      </c>
      <c r="J325">
        <f>Titanic_raw!H325</f>
        <v>0</v>
      </c>
      <c r="K325">
        <f>Titanic_raw!I325</f>
        <v>113790</v>
      </c>
      <c r="L325" s="26">
        <f>IF(ISBLANK(Titanic_raw!J325),$C$427,Titanic_raw!J325)</f>
        <v>26.55</v>
      </c>
      <c r="M325">
        <f>Titanic_raw!K325</f>
        <v>0</v>
      </c>
      <c r="N325" t="str">
        <f>IF(Titanic_raw!L325="S","Southampton",IF(Titanic_raw!L325="Q","Queenstown",IF(Titanic_raw!L325="C","Cherbourg")))</f>
        <v>Southampton</v>
      </c>
    </row>
    <row r="326" spans="1:14" x14ac:dyDescent="0.2">
      <c r="A326" s="18">
        <f>Titanic_raw!A326</f>
        <v>1216</v>
      </c>
      <c r="B326" s="17">
        <f>Titanic_raw!B326</f>
        <v>1</v>
      </c>
      <c r="C326" s="17" t="str">
        <f t="shared" si="5"/>
        <v>Survived</v>
      </c>
      <c r="D326" s="17" t="str">
        <f>CONCATENATE(Titanic_raw!C326, " Class")</f>
        <v>1 Class</v>
      </c>
      <c r="E326" s="19" t="str">
        <f>INDEX(tbl_passenger[Full Name],MATCH(A326,tbl_passenger[PassengerId],0))</f>
        <v>Miss. Emilie Kreuchen</v>
      </c>
      <c r="F326" t="str">
        <f>INDEX(tbl_passenger[Sex],MATCH(A326,tbl_passenger[PassengerId],0))</f>
        <v>Female</v>
      </c>
      <c r="G326" t="str">
        <f>IF(tbl_figures[Age]&lt;20, "Teens (0-19)", IF(tbl_figures[Age] &lt;40, "Youth (20-39)", IF(tbl_figures[Age]&lt;60, "Adult (40-59)", IF(tbl_figures[Age]&gt;=60, "Elders (60-Above)"))))</f>
        <v>Youth (20-39)</v>
      </c>
      <c r="H326" s="25">
        <f>IF(ISBLANK(Titanic_raw!F326),$C$423,Titanic_raw!F326)</f>
        <v>39</v>
      </c>
      <c r="I326">
        <f>Titanic_raw!G326</f>
        <v>0</v>
      </c>
      <c r="J326">
        <f>Titanic_raw!H326</f>
        <v>0</v>
      </c>
      <c r="K326">
        <f>Titanic_raw!I326</f>
        <v>24160</v>
      </c>
      <c r="L326" s="26">
        <f>IF(ISBLANK(Titanic_raw!J326),$C$427,Titanic_raw!J326)</f>
        <v>211.33750000000001</v>
      </c>
      <c r="M326">
        <f>Titanic_raw!K326</f>
        <v>0</v>
      </c>
      <c r="N326" t="str">
        <f>IF(Titanic_raw!L326="S","Southampton",IF(Titanic_raw!L326="Q","Queenstown",IF(Titanic_raw!L326="C","Cherbourg")))</f>
        <v>Southampton</v>
      </c>
    </row>
    <row r="327" spans="1:14" x14ac:dyDescent="0.2">
      <c r="A327" s="18">
        <f>Titanic_raw!A327</f>
        <v>1217</v>
      </c>
      <c r="B327" s="21">
        <f>Titanic_raw!B327</f>
        <v>0</v>
      </c>
      <c r="C327" s="21" t="str">
        <f t="shared" si="5"/>
        <v>Dead</v>
      </c>
      <c r="D327" s="21" t="str">
        <f>CONCATENATE(Titanic_raw!C327, " Class")</f>
        <v>3 Class</v>
      </c>
      <c r="E327" s="23" t="str">
        <f>INDEX(tbl_passenger[Full Name],MATCH(A327,tbl_passenger[PassengerId],0))</f>
        <v>Mr. Ali Assam</v>
      </c>
      <c r="F327" t="str">
        <f>INDEX(tbl_passenger[Sex],MATCH(A327,tbl_passenger[PassengerId],0))</f>
        <v>Male</v>
      </c>
      <c r="G327" t="str">
        <f>IF(tbl_figures[Age]&lt;20, "Teens (0-19)", IF(tbl_figures[Age] &lt;40, "Youth (20-39)", IF(tbl_figures[Age]&lt;60, "Adult (40-59)", IF(tbl_figures[Age]&gt;=60, "Elders (60-Above)"))))</f>
        <v>Youth (20-39)</v>
      </c>
      <c r="H327" s="25">
        <f>IF(ISBLANK(Titanic_raw!F327),$C$423,Titanic_raw!F327)</f>
        <v>23</v>
      </c>
      <c r="I327">
        <f>Titanic_raw!G327</f>
        <v>0</v>
      </c>
      <c r="J327">
        <f>Titanic_raw!H327</f>
        <v>0</v>
      </c>
      <c r="K327" t="str">
        <f>Titanic_raw!I327</f>
        <v>SOTON/O.Q. 3101309</v>
      </c>
      <c r="L327" s="26">
        <f>IF(ISBLANK(Titanic_raw!J327),$C$427,Titanic_raw!J327)</f>
        <v>7.05</v>
      </c>
      <c r="M327">
        <f>Titanic_raw!K327</f>
        <v>0</v>
      </c>
      <c r="N327" t="str">
        <f>IF(Titanic_raw!L327="S","Southampton",IF(Titanic_raw!L327="Q","Queenstown",IF(Titanic_raw!L327="C","Cherbourg")))</f>
        <v>Southampton</v>
      </c>
    </row>
    <row r="328" spans="1:14" x14ac:dyDescent="0.2">
      <c r="A328" s="18">
        <f>Titanic_raw!A328</f>
        <v>1218</v>
      </c>
      <c r="B328" s="17">
        <f>Titanic_raw!B328</f>
        <v>1</v>
      </c>
      <c r="C328" s="17" t="str">
        <f t="shared" si="5"/>
        <v>Survived</v>
      </c>
      <c r="D328" s="17" t="str">
        <f>CONCATENATE(Titanic_raw!C328, " Class")</f>
        <v>2 Class</v>
      </c>
      <c r="E328" s="19" t="str">
        <f>INDEX(tbl_passenger[Full Name],MATCH(A328,tbl_passenger[PassengerId],0))</f>
        <v>Miss. Ruth Elizabeth Becker</v>
      </c>
      <c r="F328" t="str">
        <f>INDEX(tbl_passenger[Sex],MATCH(A328,tbl_passenger[PassengerId],0))</f>
        <v>Female</v>
      </c>
      <c r="G328" t="str">
        <f>IF(tbl_figures[Age]&lt;20, "Teens (0-19)", IF(tbl_figures[Age] &lt;40, "Youth (20-39)", IF(tbl_figures[Age]&lt;60, "Adult (40-59)", IF(tbl_figures[Age]&gt;=60, "Elders (60-Above)"))))</f>
        <v>Teens (0-19)</v>
      </c>
      <c r="H328" s="25">
        <f>IF(ISBLANK(Titanic_raw!F328),$C$423,Titanic_raw!F328)</f>
        <v>12</v>
      </c>
      <c r="I328">
        <f>Titanic_raw!G328</f>
        <v>2</v>
      </c>
      <c r="J328">
        <f>Titanic_raw!H328</f>
        <v>1</v>
      </c>
      <c r="K328">
        <f>Titanic_raw!I328</f>
        <v>230136</v>
      </c>
      <c r="L328" s="26">
        <f>IF(ISBLANK(Titanic_raw!J328),$C$427,Titanic_raw!J328)</f>
        <v>39</v>
      </c>
      <c r="M328" t="str">
        <f>Titanic_raw!K328</f>
        <v>F4</v>
      </c>
      <c r="N328" t="str">
        <f>IF(Titanic_raw!L328="S","Southampton",IF(Titanic_raw!L328="Q","Queenstown",IF(Titanic_raw!L328="C","Cherbourg")))</f>
        <v>Southampton</v>
      </c>
    </row>
    <row r="329" spans="1:14" x14ac:dyDescent="0.2">
      <c r="A329" s="18">
        <f>Titanic_raw!A329</f>
        <v>1219</v>
      </c>
      <c r="B329" s="21">
        <f>Titanic_raw!B329</f>
        <v>0</v>
      </c>
      <c r="C329" s="21" t="str">
        <f t="shared" si="5"/>
        <v>Dead</v>
      </c>
      <c r="D329" s="21" t="str">
        <f>CONCATENATE(Titanic_raw!C329, " Class")</f>
        <v>1 Class</v>
      </c>
      <c r="E329" s="23" t="str">
        <f>INDEX(tbl_passenger[Full Name],MATCH(A329,tbl_passenger[PassengerId],0))</f>
        <v>Mr. George (Mr George Thorne")" Rosenshine</v>
      </c>
      <c r="F329" t="str">
        <f>INDEX(tbl_passenger[Sex],MATCH(A329,tbl_passenger[PassengerId],0))</f>
        <v>Male</v>
      </c>
      <c r="G329" t="str">
        <f>IF(tbl_figures[Age]&lt;20, "Teens (0-19)", IF(tbl_figures[Age] &lt;40, "Youth (20-39)", IF(tbl_figures[Age]&lt;60, "Adult (40-59)", IF(tbl_figures[Age]&gt;=60, "Elders (60-Above)"))))</f>
        <v>Adult (40-59)</v>
      </c>
      <c r="H329" s="25">
        <f>IF(ISBLANK(Titanic_raw!F329),$C$423,Titanic_raw!F329)</f>
        <v>46</v>
      </c>
      <c r="I329">
        <f>Titanic_raw!G329</f>
        <v>0</v>
      </c>
      <c r="J329">
        <f>Titanic_raw!H329</f>
        <v>0</v>
      </c>
      <c r="K329" t="str">
        <f>Titanic_raw!I329</f>
        <v>PC 17585</v>
      </c>
      <c r="L329" s="26">
        <f>IF(ISBLANK(Titanic_raw!J329),$C$427,Titanic_raw!J329)</f>
        <v>79.2</v>
      </c>
      <c r="M329">
        <f>Titanic_raw!K329</f>
        <v>0</v>
      </c>
      <c r="N329" t="str">
        <f>IF(Titanic_raw!L329="S","Southampton",IF(Titanic_raw!L329="Q","Queenstown",IF(Titanic_raw!L329="C","Cherbourg")))</f>
        <v>Cherbourg</v>
      </c>
    </row>
    <row r="330" spans="1:14" x14ac:dyDescent="0.2">
      <c r="A330" s="18">
        <f>Titanic_raw!A330</f>
        <v>1220</v>
      </c>
      <c r="B330" s="17">
        <f>Titanic_raw!B330</f>
        <v>0</v>
      </c>
      <c r="C330" s="17" t="str">
        <f t="shared" si="5"/>
        <v>Dead</v>
      </c>
      <c r="D330" s="17" t="str">
        <f>CONCATENATE(Titanic_raw!C330, " Class")</f>
        <v>2 Class</v>
      </c>
      <c r="E330" s="19" t="str">
        <f>INDEX(tbl_passenger[Full Name],MATCH(A330,tbl_passenger[PassengerId],0))</f>
        <v>Mr. Charles Valentine Clarke</v>
      </c>
      <c r="F330" t="str">
        <f>INDEX(tbl_passenger[Sex],MATCH(A330,tbl_passenger[PassengerId],0))</f>
        <v>Male</v>
      </c>
      <c r="G330" t="str">
        <f>IF(tbl_figures[Age]&lt;20, "Teens (0-19)", IF(tbl_figures[Age] &lt;40, "Youth (20-39)", IF(tbl_figures[Age]&lt;60, "Adult (40-59)", IF(tbl_figures[Age]&gt;=60, "Elders (60-Above)"))))</f>
        <v>Youth (20-39)</v>
      </c>
      <c r="H330" s="25">
        <f>IF(ISBLANK(Titanic_raw!F330),$C$423,Titanic_raw!F330)</f>
        <v>29</v>
      </c>
      <c r="I330">
        <f>Titanic_raw!G330</f>
        <v>1</v>
      </c>
      <c r="J330">
        <f>Titanic_raw!H330</f>
        <v>0</v>
      </c>
      <c r="K330">
        <f>Titanic_raw!I330</f>
        <v>2003</v>
      </c>
      <c r="L330" s="26">
        <f>IF(ISBLANK(Titanic_raw!J330),$C$427,Titanic_raw!J330)</f>
        <v>26</v>
      </c>
      <c r="M330">
        <f>Titanic_raw!K330</f>
        <v>0</v>
      </c>
      <c r="N330" t="str">
        <f>IF(Titanic_raw!L330="S","Southampton",IF(Titanic_raw!L330="Q","Queenstown",IF(Titanic_raw!L330="C","Cherbourg")))</f>
        <v>Southampton</v>
      </c>
    </row>
    <row r="331" spans="1:14" x14ac:dyDescent="0.2">
      <c r="A331" s="18">
        <f>Titanic_raw!A331</f>
        <v>1221</v>
      </c>
      <c r="B331" s="21">
        <f>Titanic_raw!B331</f>
        <v>0</v>
      </c>
      <c r="C331" s="21" t="str">
        <f t="shared" si="5"/>
        <v>Dead</v>
      </c>
      <c r="D331" s="21" t="str">
        <f>CONCATENATE(Titanic_raw!C331, " Class")</f>
        <v>2 Class</v>
      </c>
      <c r="E331" s="23" t="str">
        <f>INDEX(tbl_passenger[Full Name],MATCH(A331,tbl_passenger[PassengerId],0))</f>
        <v>Mr. Ingvar Enander</v>
      </c>
      <c r="F331" t="str">
        <f>INDEX(tbl_passenger[Sex],MATCH(A331,tbl_passenger[PassengerId],0))</f>
        <v>Male</v>
      </c>
      <c r="G331" t="str">
        <f>IF(tbl_figures[Age]&lt;20, "Teens (0-19)", IF(tbl_figures[Age] &lt;40, "Youth (20-39)", IF(tbl_figures[Age]&lt;60, "Adult (40-59)", IF(tbl_figures[Age]&gt;=60, "Elders (60-Above)"))))</f>
        <v>Youth (20-39)</v>
      </c>
      <c r="H331" s="25">
        <f>IF(ISBLANK(Titanic_raw!F331),$C$423,Titanic_raw!F331)</f>
        <v>21</v>
      </c>
      <c r="I331">
        <f>Titanic_raw!G331</f>
        <v>0</v>
      </c>
      <c r="J331">
        <f>Titanic_raw!H331</f>
        <v>0</v>
      </c>
      <c r="K331">
        <f>Titanic_raw!I331</f>
        <v>236854</v>
      </c>
      <c r="L331" s="26">
        <f>IF(ISBLANK(Titanic_raw!J331),$C$427,Titanic_raw!J331)</f>
        <v>13</v>
      </c>
      <c r="M331">
        <f>Titanic_raw!K331</f>
        <v>0</v>
      </c>
      <c r="N331" t="str">
        <f>IF(Titanic_raw!L331="S","Southampton",IF(Titanic_raw!L331="Q","Queenstown",IF(Titanic_raw!L331="C","Cherbourg")))</f>
        <v>Southampton</v>
      </c>
    </row>
    <row r="332" spans="1:14" x14ac:dyDescent="0.2">
      <c r="A332" s="18">
        <f>Titanic_raw!A332</f>
        <v>1222</v>
      </c>
      <c r="B332" s="17">
        <f>Titanic_raw!B332</f>
        <v>1</v>
      </c>
      <c r="C332" s="17" t="str">
        <f t="shared" si="5"/>
        <v>Survived</v>
      </c>
      <c r="D332" s="17" t="str">
        <f>CONCATENATE(Titanic_raw!C332, " Class")</f>
        <v>2 Class</v>
      </c>
      <c r="E332" s="19" t="str">
        <f>INDEX(tbl_passenger[Full Name],MATCH(A332,tbl_passenger[PassengerId],0))</f>
        <v>Mrs. John Morgan (Elizabeth Agnes Mary White)  Davies</v>
      </c>
      <c r="F332" t="str">
        <f>INDEX(tbl_passenger[Sex],MATCH(A332,tbl_passenger[PassengerId],0))</f>
        <v>Female</v>
      </c>
      <c r="G332" t="str">
        <f>IF(tbl_figures[Age]&lt;20, "Teens (0-19)", IF(tbl_figures[Age] &lt;40, "Youth (20-39)", IF(tbl_figures[Age]&lt;60, "Adult (40-59)", IF(tbl_figures[Age]&gt;=60, "Elders (60-Above)"))))</f>
        <v>Adult (40-59)</v>
      </c>
      <c r="H332" s="25">
        <f>IF(ISBLANK(Titanic_raw!F332),$C$423,Titanic_raw!F332)</f>
        <v>48</v>
      </c>
      <c r="I332">
        <f>Titanic_raw!G332</f>
        <v>0</v>
      </c>
      <c r="J332">
        <f>Titanic_raw!H332</f>
        <v>2</v>
      </c>
      <c r="K332" t="str">
        <f>Titanic_raw!I332</f>
        <v>C.A. 33112</v>
      </c>
      <c r="L332" s="26">
        <f>IF(ISBLANK(Titanic_raw!J332),$C$427,Titanic_raw!J332)</f>
        <v>36.75</v>
      </c>
      <c r="M332">
        <f>Titanic_raw!K332</f>
        <v>0</v>
      </c>
      <c r="N332" t="str">
        <f>IF(Titanic_raw!L332="S","Southampton",IF(Titanic_raw!L332="Q","Queenstown",IF(Titanic_raw!L332="C","Cherbourg")))</f>
        <v>Southampton</v>
      </c>
    </row>
    <row r="333" spans="1:14" x14ac:dyDescent="0.2">
      <c r="A333" s="18">
        <f>Titanic_raw!A333</f>
        <v>1223</v>
      </c>
      <c r="B333" s="21">
        <f>Titanic_raw!B333</f>
        <v>0</v>
      </c>
      <c r="C333" s="21" t="str">
        <f t="shared" si="5"/>
        <v>Dead</v>
      </c>
      <c r="D333" s="21" t="str">
        <f>CONCATENATE(Titanic_raw!C333, " Class")</f>
        <v>1 Class</v>
      </c>
      <c r="E333" s="23" t="str">
        <f>INDEX(tbl_passenger[Full Name],MATCH(A333,tbl_passenger[PassengerId],0))</f>
        <v>Mr. William Crothers Dulles</v>
      </c>
      <c r="F333" t="str">
        <f>INDEX(tbl_passenger[Sex],MATCH(A333,tbl_passenger[PassengerId],0))</f>
        <v>Male</v>
      </c>
      <c r="G333" t="str">
        <f>IF(tbl_figures[Age]&lt;20, "Teens (0-19)", IF(tbl_figures[Age] &lt;40, "Youth (20-39)", IF(tbl_figures[Age]&lt;60, "Adult (40-59)", IF(tbl_figures[Age]&gt;=60, "Elders (60-Above)"))))</f>
        <v>Youth (20-39)</v>
      </c>
      <c r="H333" s="25">
        <f>IF(ISBLANK(Titanic_raw!F333),$C$423,Titanic_raw!F333)</f>
        <v>39</v>
      </c>
      <c r="I333">
        <f>Titanic_raw!G333</f>
        <v>0</v>
      </c>
      <c r="J333">
        <f>Titanic_raw!H333</f>
        <v>0</v>
      </c>
      <c r="K333" t="str">
        <f>Titanic_raw!I333</f>
        <v>PC 17580</v>
      </c>
      <c r="L333" s="26">
        <f>IF(ISBLANK(Titanic_raw!J333),$C$427,Titanic_raw!J333)</f>
        <v>29.7</v>
      </c>
      <c r="M333" t="str">
        <f>Titanic_raw!K333</f>
        <v>A18</v>
      </c>
      <c r="N333" t="str">
        <f>IF(Titanic_raw!L333="S","Southampton",IF(Titanic_raw!L333="Q","Queenstown",IF(Titanic_raw!L333="C","Cherbourg")))</f>
        <v>Cherbourg</v>
      </c>
    </row>
    <row r="334" spans="1:14" x14ac:dyDescent="0.2">
      <c r="A334" s="18">
        <f>Titanic_raw!A334</f>
        <v>1224</v>
      </c>
      <c r="B334" s="17">
        <f>Titanic_raw!B334</f>
        <v>0</v>
      </c>
      <c r="C334" s="17" t="str">
        <f t="shared" si="5"/>
        <v>Dead</v>
      </c>
      <c r="D334" s="17" t="str">
        <f>CONCATENATE(Titanic_raw!C334, " Class")</f>
        <v>3 Class</v>
      </c>
      <c r="E334" s="19" t="str">
        <f>INDEX(tbl_passenger[Full Name],MATCH(A334,tbl_passenger[PassengerId],0))</f>
        <v>Mr. Tannous Thomas</v>
      </c>
      <c r="F334" t="str">
        <f>INDEX(tbl_passenger[Sex],MATCH(A334,tbl_passenger[PassengerId],0))</f>
        <v>Male</v>
      </c>
      <c r="G334" t="str">
        <f>IF(tbl_figures[Age]&lt;20, "Teens (0-19)", IF(tbl_figures[Age] &lt;40, "Youth (20-39)", IF(tbl_figures[Age]&lt;60, "Adult (40-59)", IF(tbl_figures[Age]&gt;=60, "Elders (60-Above)"))))</f>
        <v>Youth (20-39)</v>
      </c>
      <c r="H334" s="25">
        <f>IF(ISBLANK(Titanic_raw!F334),$C$423,Titanic_raw!F334)</f>
        <v>30.272590325616491</v>
      </c>
      <c r="I334">
        <f>Titanic_raw!G334</f>
        <v>0</v>
      </c>
      <c r="J334">
        <f>Titanic_raw!H334</f>
        <v>0</v>
      </c>
      <c r="K334">
        <f>Titanic_raw!I334</f>
        <v>2684</v>
      </c>
      <c r="L334" s="26">
        <f>IF(ISBLANK(Titanic_raw!J334),$C$427,Titanic_raw!J334)</f>
        <v>7.2249999999999996</v>
      </c>
      <c r="M334">
        <f>Titanic_raw!K334</f>
        <v>0</v>
      </c>
      <c r="N334" t="str">
        <f>IF(Titanic_raw!L334="S","Southampton",IF(Titanic_raw!L334="Q","Queenstown",IF(Titanic_raw!L334="C","Cherbourg")))</f>
        <v>Cherbourg</v>
      </c>
    </row>
    <row r="335" spans="1:14" x14ac:dyDescent="0.2">
      <c r="A335" s="18">
        <f>Titanic_raw!A335</f>
        <v>1225</v>
      </c>
      <c r="B335" s="21">
        <f>Titanic_raw!B335</f>
        <v>1</v>
      </c>
      <c r="C335" s="21" t="str">
        <f t="shared" si="5"/>
        <v>Survived</v>
      </c>
      <c r="D335" s="21" t="str">
        <f>CONCATENATE(Titanic_raw!C335, " Class")</f>
        <v>3 Class</v>
      </c>
      <c r="E335" s="23" t="str">
        <f>INDEX(tbl_passenger[Full Name],MATCH(A335,tbl_passenger[PassengerId],0))</f>
        <v>Mrs. Said (Waika Mary" Mowad)" Nakid</v>
      </c>
      <c r="F335" t="str">
        <f>INDEX(tbl_passenger[Sex],MATCH(A335,tbl_passenger[PassengerId],0))</f>
        <v>Female</v>
      </c>
      <c r="G335" t="str">
        <f>IF(tbl_figures[Age]&lt;20, "Teens (0-19)", IF(tbl_figures[Age] &lt;40, "Youth (20-39)", IF(tbl_figures[Age]&lt;60, "Adult (40-59)", IF(tbl_figures[Age]&gt;=60, "Elders (60-Above)"))))</f>
        <v>Teens (0-19)</v>
      </c>
      <c r="H335" s="25">
        <f>IF(ISBLANK(Titanic_raw!F335),$C$423,Titanic_raw!F335)</f>
        <v>19</v>
      </c>
      <c r="I335">
        <f>Titanic_raw!G335</f>
        <v>1</v>
      </c>
      <c r="J335">
        <f>Titanic_raw!H335</f>
        <v>1</v>
      </c>
      <c r="K335">
        <f>Titanic_raw!I335</f>
        <v>2653</v>
      </c>
      <c r="L335" s="26">
        <f>IF(ISBLANK(Titanic_raw!J335),$C$427,Titanic_raw!J335)</f>
        <v>15.7417</v>
      </c>
      <c r="M335">
        <f>Titanic_raw!K335</f>
        <v>0</v>
      </c>
      <c r="N335" t="str">
        <f>IF(Titanic_raw!L335="S","Southampton",IF(Titanic_raw!L335="Q","Queenstown",IF(Titanic_raw!L335="C","Cherbourg")))</f>
        <v>Cherbourg</v>
      </c>
    </row>
    <row r="336" spans="1:14" x14ac:dyDescent="0.2">
      <c r="A336" s="18">
        <f>Titanic_raw!A336</f>
        <v>1226</v>
      </c>
      <c r="B336" s="17">
        <f>Titanic_raw!B336</f>
        <v>0</v>
      </c>
      <c r="C336" s="17" t="str">
        <f t="shared" si="5"/>
        <v>Dead</v>
      </c>
      <c r="D336" s="17" t="str">
        <f>CONCATENATE(Titanic_raw!C336, " Class")</f>
        <v>3 Class</v>
      </c>
      <c r="E336" s="19" t="str">
        <f>INDEX(tbl_passenger[Full Name],MATCH(A336,tbl_passenger[PassengerId],0))</f>
        <v>Mr. Ivan Cor</v>
      </c>
      <c r="F336" t="str">
        <f>INDEX(tbl_passenger[Sex],MATCH(A336,tbl_passenger[PassengerId],0))</f>
        <v>Male</v>
      </c>
      <c r="G336" t="str">
        <f>IF(tbl_figures[Age]&lt;20, "Teens (0-19)", IF(tbl_figures[Age] &lt;40, "Youth (20-39)", IF(tbl_figures[Age]&lt;60, "Adult (40-59)", IF(tbl_figures[Age]&gt;=60, "Elders (60-Above)"))))</f>
        <v>Youth (20-39)</v>
      </c>
      <c r="H336" s="25">
        <f>IF(ISBLANK(Titanic_raw!F336),$C$423,Titanic_raw!F336)</f>
        <v>27</v>
      </c>
      <c r="I336">
        <f>Titanic_raw!G336</f>
        <v>0</v>
      </c>
      <c r="J336">
        <f>Titanic_raw!H336</f>
        <v>0</v>
      </c>
      <c r="K336">
        <f>Titanic_raw!I336</f>
        <v>349229</v>
      </c>
      <c r="L336" s="26">
        <f>IF(ISBLANK(Titanic_raw!J336),$C$427,Titanic_raw!J336)</f>
        <v>7.8958000000000004</v>
      </c>
      <c r="M336">
        <f>Titanic_raw!K336</f>
        <v>0</v>
      </c>
      <c r="N336" t="str">
        <f>IF(Titanic_raw!L336="S","Southampton",IF(Titanic_raw!L336="Q","Queenstown",IF(Titanic_raw!L336="C","Cherbourg")))</f>
        <v>Southampton</v>
      </c>
    </row>
    <row r="337" spans="1:14" x14ac:dyDescent="0.2">
      <c r="A337" s="18">
        <f>Titanic_raw!A337</f>
        <v>1227</v>
      </c>
      <c r="B337" s="21">
        <f>Titanic_raw!B337</f>
        <v>0</v>
      </c>
      <c r="C337" s="21" t="str">
        <f t="shared" si="5"/>
        <v>Dead</v>
      </c>
      <c r="D337" s="21" t="str">
        <f>CONCATENATE(Titanic_raw!C337, " Class")</f>
        <v>1 Class</v>
      </c>
      <c r="E337" s="23" t="str">
        <f>INDEX(tbl_passenger[Full Name],MATCH(A337,tbl_passenger[PassengerId],0))</f>
        <v>Mr. John Edward Maguire</v>
      </c>
      <c r="F337" t="str">
        <f>INDEX(tbl_passenger[Sex],MATCH(A337,tbl_passenger[PassengerId],0))</f>
        <v>Male</v>
      </c>
      <c r="G337" t="str">
        <f>IF(tbl_figures[Age]&lt;20, "Teens (0-19)", IF(tbl_figures[Age] &lt;40, "Youth (20-39)", IF(tbl_figures[Age]&lt;60, "Adult (40-59)", IF(tbl_figures[Age]&gt;=60, "Elders (60-Above)"))))</f>
        <v>Youth (20-39)</v>
      </c>
      <c r="H337" s="25">
        <f>IF(ISBLANK(Titanic_raw!F337),$C$423,Titanic_raw!F337)</f>
        <v>30</v>
      </c>
      <c r="I337">
        <f>Titanic_raw!G337</f>
        <v>0</v>
      </c>
      <c r="J337">
        <f>Titanic_raw!H337</f>
        <v>0</v>
      </c>
      <c r="K337">
        <f>Titanic_raw!I337</f>
        <v>110469</v>
      </c>
      <c r="L337" s="26">
        <f>IF(ISBLANK(Titanic_raw!J337),$C$427,Titanic_raw!J337)</f>
        <v>26</v>
      </c>
      <c r="M337" t="str">
        <f>Titanic_raw!K337</f>
        <v>C106</v>
      </c>
      <c r="N337" t="str">
        <f>IF(Titanic_raw!L337="S","Southampton",IF(Titanic_raw!L337="Q","Queenstown",IF(Titanic_raw!L337="C","Cherbourg")))</f>
        <v>Southampton</v>
      </c>
    </row>
    <row r="338" spans="1:14" x14ac:dyDescent="0.2">
      <c r="A338" s="18">
        <f>Titanic_raw!A338</f>
        <v>1228</v>
      </c>
      <c r="B338" s="17">
        <f>Titanic_raw!B338</f>
        <v>0</v>
      </c>
      <c r="C338" s="17" t="str">
        <f t="shared" si="5"/>
        <v>Dead</v>
      </c>
      <c r="D338" s="17" t="str">
        <f>CONCATENATE(Titanic_raw!C338, " Class")</f>
        <v>2 Class</v>
      </c>
      <c r="E338" s="19" t="str">
        <f>INDEX(tbl_passenger[Full Name],MATCH(A338,tbl_passenger[PassengerId],0))</f>
        <v>Mr. Jose Joaquim de Brito</v>
      </c>
      <c r="F338" t="str">
        <f>INDEX(tbl_passenger[Sex],MATCH(A338,tbl_passenger[PassengerId],0))</f>
        <v>Male</v>
      </c>
      <c r="G338" t="str">
        <f>IF(tbl_figures[Age]&lt;20, "Teens (0-19)", IF(tbl_figures[Age] &lt;40, "Youth (20-39)", IF(tbl_figures[Age]&lt;60, "Adult (40-59)", IF(tbl_figures[Age]&gt;=60, "Elders (60-Above)"))))</f>
        <v>Youth (20-39)</v>
      </c>
      <c r="H338" s="25">
        <f>IF(ISBLANK(Titanic_raw!F338),$C$423,Titanic_raw!F338)</f>
        <v>32</v>
      </c>
      <c r="I338">
        <f>Titanic_raw!G338</f>
        <v>0</v>
      </c>
      <c r="J338">
        <f>Titanic_raw!H338</f>
        <v>0</v>
      </c>
      <c r="K338">
        <f>Titanic_raw!I338</f>
        <v>244360</v>
      </c>
      <c r="L338" s="26">
        <f>IF(ISBLANK(Titanic_raw!J338),$C$427,Titanic_raw!J338)</f>
        <v>13</v>
      </c>
      <c r="M338">
        <f>Titanic_raw!K338</f>
        <v>0</v>
      </c>
      <c r="N338" t="str">
        <f>IF(Titanic_raw!L338="S","Southampton",IF(Titanic_raw!L338="Q","Queenstown",IF(Titanic_raw!L338="C","Cherbourg")))</f>
        <v>Southampton</v>
      </c>
    </row>
    <row r="339" spans="1:14" x14ac:dyDescent="0.2">
      <c r="A339" s="18">
        <f>Titanic_raw!A339</f>
        <v>1229</v>
      </c>
      <c r="B339" s="21">
        <f>Titanic_raw!B339</f>
        <v>0</v>
      </c>
      <c r="C339" s="21" t="str">
        <f t="shared" si="5"/>
        <v>Dead</v>
      </c>
      <c r="D339" s="21" t="str">
        <f>CONCATENATE(Titanic_raw!C339, " Class")</f>
        <v>3 Class</v>
      </c>
      <c r="E339" s="23" t="str">
        <f>INDEX(tbl_passenger[Full Name],MATCH(A339,tbl_passenger[PassengerId],0))</f>
        <v>Mr. Joseph Elias</v>
      </c>
      <c r="F339" t="str">
        <f>INDEX(tbl_passenger[Sex],MATCH(A339,tbl_passenger[PassengerId],0))</f>
        <v>Male</v>
      </c>
      <c r="G339" t="str">
        <f>IF(tbl_figures[Age]&lt;20, "Teens (0-19)", IF(tbl_figures[Age] &lt;40, "Youth (20-39)", IF(tbl_figures[Age]&lt;60, "Adult (40-59)", IF(tbl_figures[Age]&gt;=60, "Elders (60-Above)"))))</f>
        <v>Youth (20-39)</v>
      </c>
      <c r="H339" s="25">
        <f>IF(ISBLANK(Titanic_raw!F339),$C$423,Titanic_raw!F339)</f>
        <v>39</v>
      </c>
      <c r="I339">
        <f>Titanic_raw!G339</f>
        <v>0</v>
      </c>
      <c r="J339">
        <f>Titanic_raw!H339</f>
        <v>2</v>
      </c>
      <c r="K339">
        <f>Titanic_raw!I339</f>
        <v>2675</v>
      </c>
      <c r="L339" s="26">
        <f>IF(ISBLANK(Titanic_raw!J339),$C$427,Titanic_raw!J339)</f>
        <v>7.2291999999999996</v>
      </c>
      <c r="M339">
        <f>Titanic_raw!K339</f>
        <v>0</v>
      </c>
      <c r="N339" t="str">
        <f>IF(Titanic_raw!L339="S","Southampton",IF(Titanic_raw!L339="Q","Queenstown",IF(Titanic_raw!L339="C","Cherbourg")))</f>
        <v>Cherbourg</v>
      </c>
    </row>
    <row r="340" spans="1:14" x14ac:dyDescent="0.2">
      <c r="A340" s="18">
        <f>Titanic_raw!A340</f>
        <v>1230</v>
      </c>
      <c r="B340" s="17">
        <f>Titanic_raw!B340</f>
        <v>0</v>
      </c>
      <c r="C340" s="17" t="str">
        <f t="shared" si="5"/>
        <v>Dead</v>
      </c>
      <c r="D340" s="17" t="str">
        <f>CONCATENATE(Titanic_raw!C340, " Class")</f>
        <v>2 Class</v>
      </c>
      <c r="E340" s="19" t="str">
        <f>INDEX(tbl_passenger[Full Name],MATCH(A340,tbl_passenger[PassengerId],0))</f>
        <v>Mr. Herbert Denbury</v>
      </c>
      <c r="F340" t="str">
        <f>INDEX(tbl_passenger[Sex],MATCH(A340,tbl_passenger[PassengerId],0))</f>
        <v>Male</v>
      </c>
      <c r="G340" t="str">
        <f>IF(tbl_figures[Age]&lt;20, "Teens (0-19)", IF(tbl_figures[Age] &lt;40, "Youth (20-39)", IF(tbl_figures[Age]&lt;60, "Adult (40-59)", IF(tbl_figures[Age]&gt;=60, "Elders (60-Above)"))))</f>
        <v>Youth (20-39)</v>
      </c>
      <c r="H340" s="25">
        <f>IF(ISBLANK(Titanic_raw!F340),$C$423,Titanic_raw!F340)</f>
        <v>25</v>
      </c>
      <c r="I340">
        <f>Titanic_raw!G340</f>
        <v>0</v>
      </c>
      <c r="J340">
        <f>Titanic_raw!H340</f>
        <v>0</v>
      </c>
      <c r="K340" t="str">
        <f>Titanic_raw!I340</f>
        <v>C.A. 31029</v>
      </c>
      <c r="L340" s="26">
        <f>IF(ISBLANK(Titanic_raw!J340),$C$427,Titanic_raw!J340)</f>
        <v>31.5</v>
      </c>
      <c r="M340">
        <f>Titanic_raw!K340</f>
        <v>0</v>
      </c>
      <c r="N340" t="str">
        <f>IF(Titanic_raw!L340="S","Southampton",IF(Titanic_raw!L340="Q","Queenstown",IF(Titanic_raw!L340="C","Cherbourg")))</f>
        <v>Southampton</v>
      </c>
    </row>
    <row r="341" spans="1:14" x14ac:dyDescent="0.2">
      <c r="A341" s="18">
        <f>Titanic_raw!A341</f>
        <v>1231</v>
      </c>
      <c r="B341" s="21">
        <f>Titanic_raw!B341</f>
        <v>0</v>
      </c>
      <c r="C341" s="21" t="str">
        <f t="shared" si="5"/>
        <v>Dead</v>
      </c>
      <c r="D341" s="21" t="str">
        <f>CONCATENATE(Titanic_raw!C341, " Class")</f>
        <v>3 Class</v>
      </c>
      <c r="E341" s="23" t="str">
        <f>INDEX(tbl_passenger[Full Name],MATCH(A341,tbl_passenger[PassengerId],0))</f>
        <v>Master. Seman Betros</v>
      </c>
      <c r="F341" t="str">
        <f>INDEX(tbl_passenger[Sex],MATCH(A341,tbl_passenger[PassengerId],0))</f>
        <v>Male</v>
      </c>
      <c r="G341" t="str">
        <f>IF(tbl_figures[Age]&lt;20, "Teens (0-19)", IF(tbl_figures[Age] &lt;40, "Youth (20-39)", IF(tbl_figures[Age]&lt;60, "Adult (40-59)", IF(tbl_figures[Age]&gt;=60, "Elders (60-Above)"))))</f>
        <v>Youth (20-39)</v>
      </c>
      <c r="H341" s="25">
        <f>IF(ISBLANK(Titanic_raw!F341),$C$423,Titanic_raw!F341)</f>
        <v>30.272590325616491</v>
      </c>
      <c r="I341">
        <f>Titanic_raw!G341</f>
        <v>0</v>
      </c>
      <c r="J341">
        <f>Titanic_raw!H341</f>
        <v>0</v>
      </c>
      <c r="K341">
        <f>Titanic_raw!I341</f>
        <v>2622</v>
      </c>
      <c r="L341" s="26">
        <f>IF(ISBLANK(Titanic_raw!J341),$C$427,Titanic_raw!J341)</f>
        <v>7.2291999999999996</v>
      </c>
      <c r="M341">
        <f>Titanic_raw!K341</f>
        <v>0</v>
      </c>
      <c r="N341" t="str">
        <f>IF(Titanic_raw!L341="S","Southampton",IF(Titanic_raw!L341="Q","Queenstown",IF(Titanic_raw!L341="C","Cherbourg")))</f>
        <v>Cherbourg</v>
      </c>
    </row>
    <row r="342" spans="1:14" x14ac:dyDescent="0.2">
      <c r="A342" s="18">
        <f>Titanic_raw!A342</f>
        <v>1232</v>
      </c>
      <c r="B342" s="17">
        <f>Titanic_raw!B342</f>
        <v>0</v>
      </c>
      <c r="C342" s="17" t="str">
        <f t="shared" si="5"/>
        <v>Dead</v>
      </c>
      <c r="D342" s="17" t="str">
        <f>CONCATENATE(Titanic_raw!C342, " Class")</f>
        <v>2 Class</v>
      </c>
      <c r="E342" s="19" t="str">
        <f>INDEX(tbl_passenger[Full Name],MATCH(A342,tbl_passenger[PassengerId],0))</f>
        <v>Mr. Joseph Charles Fillbrook</v>
      </c>
      <c r="F342" t="str">
        <f>INDEX(tbl_passenger[Sex],MATCH(A342,tbl_passenger[PassengerId],0))</f>
        <v>Male</v>
      </c>
      <c r="G342" t="str">
        <f>IF(tbl_figures[Age]&lt;20, "Teens (0-19)", IF(tbl_figures[Age] &lt;40, "Youth (20-39)", IF(tbl_figures[Age]&lt;60, "Adult (40-59)", IF(tbl_figures[Age]&gt;=60, "Elders (60-Above)"))))</f>
        <v>Teens (0-19)</v>
      </c>
      <c r="H342" s="25">
        <f>IF(ISBLANK(Titanic_raw!F342),$C$423,Titanic_raw!F342)</f>
        <v>18</v>
      </c>
      <c r="I342">
        <f>Titanic_raw!G342</f>
        <v>0</v>
      </c>
      <c r="J342">
        <f>Titanic_raw!H342</f>
        <v>0</v>
      </c>
      <c r="K342" t="str">
        <f>Titanic_raw!I342</f>
        <v>C.A. 15185</v>
      </c>
      <c r="L342" s="26">
        <f>IF(ISBLANK(Titanic_raw!J342),$C$427,Titanic_raw!J342)</f>
        <v>10.5</v>
      </c>
      <c r="M342">
        <f>Titanic_raw!K342</f>
        <v>0</v>
      </c>
      <c r="N342" t="str">
        <f>IF(Titanic_raw!L342="S","Southampton",IF(Titanic_raw!L342="Q","Queenstown",IF(Titanic_raw!L342="C","Cherbourg")))</f>
        <v>Southampton</v>
      </c>
    </row>
    <row r="343" spans="1:14" x14ac:dyDescent="0.2">
      <c r="A343" s="18">
        <f>Titanic_raw!A343</f>
        <v>1233</v>
      </c>
      <c r="B343" s="21">
        <f>Titanic_raw!B343</f>
        <v>0</v>
      </c>
      <c r="C343" s="21" t="str">
        <f t="shared" si="5"/>
        <v>Dead</v>
      </c>
      <c r="D343" s="21" t="str">
        <f>CONCATENATE(Titanic_raw!C343, " Class")</f>
        <v>3 Class</v>
      </c>
      <c r="E343" s="23" t="str">
        <f>INDEX(tbl_passenger[Full Name],MATCH(A343,tbl_passenger[PassengerId],0))</f>
        <v>Mr. Thure Edvin Lundstrom</v>
      </c>
      <c r="F343" t="str">
        <f>INDEX(tbl_passenger[Sex],MATCH(A343,tbl_passenger[PassengerId],0))</f>
        <v>Male</v>
      </c>
      <c r="G343" t="str">
        <f>IF(tbl_figures[Age]&lt;20, "Teens (0-19)", IF(tbl_figures[Age] &lt;40, "Youth (20-39)", IF(tbl_figures[Age]&lt;60, "Adult (40-59)", IF(tbl_figures[Age]&gt;=60, "Elders (60-Above)"))))</f>
        <v>Youth (20-39)</v>
      </c>
      <c r="H343" s="25">
        <f>IF(ISBLANK(Titanic_raw!F343),$C$423,Titanic_raw!F343)</f>
        <v>32</v>
      </c>
      <c r="I343">
        <f>Titanic_raw!G343</f>
        <v>0</v>
      </c>
      <c r="J343">
        <f>Titanic_raw!H343</f>
        <v>0</v>
      </c>
      <c r="K343">
        <f>Titanic_raw!I343</f>
        <v>350403</v>
      </c>
      <c r="L343" s="26">
        <f>IF(ISBLANK(Titanic_raw!J343),$C$427,Titanic_raw!J343)</f>
        <v>7.5792000000000002</v>
      </c>
      <c r="M343">
        <f>Titanic_raw!K343</f>
        <v>0</v>
      </c>
      <c r="N343" t="str">
        <f>IF(Titanic_raw!L343="S","Southampton",IF(Titanic_raw!L343="Q","Queenstown",IF(Titanic_raw!L343="C","Cherbourg")))</f>
        <v>Southampton</v>
      </c>
    </row>
    <row r="344" spans="1:14" x14ac:dyDescent="0.2">
      <c r="A344" s="18">
        <f>Titanic_raw!A344</f>
        <v>1234</v>
      </c>
      <c r="B344" s="17">
        <f>Titanic_raw!B344</f>
        <v>0</v>
      </c>
      <c r="C344" s="17" t="str">
        <f t="shared" si="5"/>
        <v>Dead</v>
      </c>
      <c r="D344" s="17" t="str">
        <f>CONCATENATE(Titanic_raw!C344, " Class")</f>
        <v>3 Class</v>
      </c>
      <c r="E344" s="19" t="str">
        <f>INDEX(tbl_passenger[Full Name],MATCH(A344,tbl_passenger[PassengerId],0))</f>
        <v>Mr. John George Sage</v>
      </c>
      <c r="F344" t="str">
        <f>INDEX(tbl_passenger[Sex],MATCH(A344,tbl_passenger[PassengerId],0))</f>
        <v>Male</v>
      </c>
      <c r="G344" t="str">
        <f>IF(tbl_figures[Age]&lt;20, "Teens (0-19)", IF(tbl_figures[Age] &lt;40, "Youth (20-39)", IF(tbl_figures[Age]&lt;60, "Adult (40-59)", IF(tbl_figures[Age]&gt;=60, "Elders (60-Above)"))))</f>
        <v>Youth (20-39)</v>
      </c>
      <c r="H344" s="25">
        <f>IF(ISBLANK(Titanic_raw!F344),$C$423,Titanic_raw!F344)</f>
        <v>30.272590325616491</v>
      </c>
      <c r="I344">
        <f>Titanic_raw!G344</f>
        <v>1</v>
      </c>
      <c r="J344">
        <f>Titanic_raw!H344</f>
        <v>9</v>
      </c>
      <c r="K344" t="str">
        <f>Titanic_raw!I344</f>
        <v>CA. 2343</v>
      </c>
      <c r="L344" s="26">
        <f>IF(ISBLANK(Titanic_raw!J344),$C$427,Titanic_raw!J344)</f>
        <v>69.55</v>
      </c>
      <c r="M344">
        <f>Titanic_raw!K344</f>
        <v>0</v>
      </c>
      <c r="N344" t="str">
        <f>IF(Titanic_raw!L344="S","Southampton",IF(Titanic_raw!L344="Q","Queenstown",IF(Titanic_raw!L344="C","Cherbourg")))</f>
        <v>Southampton</v>
      </c>
    </row>
    <row r="345" spans="1:14" x14ac:dyDescent="0.2">
      <c r="A345" s="18">
        <f>Titanic_raw!A345</f>
        <v>1235</v>
      </c>
      <c r="B345" s="21">
        <f>Titanic_raw!B345</f>
        <v>1</v>
      </c>
      <c r="C345" s="21" t="str">
        <f t="shared" si="5"/>
        <v>Survived</v>
      </c>
      <c r="D345" s="21" t="str">
        <f>CONCATENATE(Titanic_raw!C345, " Class")</f>
        <v>1 Class</v>
      </c>
      <c r="E345" s="23" t="str">
        <f>INDEX(tbl_passenger[Full Name],MATCH(A345,tbl_passenger[PassengerId],0))</f>
        <v>Mrs. James Warburton Martinez (Charlotte Wardle Drake) Cardeza</v>
      </c>
      <c r="F345" t="str">
        <f>INDEX(tbl_passenger[Sex],MATCH(A345,tbl_passenger[PassengerId],0))</f>
        <v>Female</v>
      </c>
      <c r="G345" t="str">
        <f>IF(tbl_figures[Age]&lt;20, "Teens (0-19)", IF(tbl_figures[Age] &lt;40, "Youth (20-39)", IF(tbl_figures[Age]&lt;60, "Adult (40-59)", IF(tbl_figures[Age]&gt;=60, "Elders (60-Above)"))))</f>
        <v>Adult (40-59)</v>
      </c>
      <c r="H345" s="25">
        <f>IF(ISBLANK(Titanic_raw!F345),$C$423,Titanic_raw!F345)</f>
        <v>58</v>
      </c>
      <c r="I345">
        <f>Titanic_raw!G345</f>
        <v>0</v>
      </c>
      <c r="J345">
        <f>Titanic_raw!H345</f>
        <v>1</v>
      </c>
      <c r="K345" t="str">
        <f>Titanic_raw!I345</f>
        <v>PC 17755</v>
      </c>
      <c r="L345" s="26">
        <f>IF(ISBLANK(Titanic_raw!J345),$C$427,Titanic_raw!J345)</f>
        <v>512.32920000000001</v>
      </c>
      <c r="M345" t="str">
        <f>Titanic_raw!K345</f>
        <v>B51 B53 B55</v>
      </c>
      <c r="N345" t="str">
        <f>IF(Titanic_raw!L345="S","Southampton",IF(Titanic_raw!L345="Q","Queenstown",IF(Titanic_raw!L345="C","Cherbourg")))</f>
        <v>Cherbourg</v>
      </c>
    </row>
    <row r="346" spans="1:14" x14ac:dyDescent="0.2">
      <c r="A346" s="18">
        <f>Titanic_raw!A346</f>
        <v>1236</v>
      </c>
      <c r="B346" s="17">
        <f>Titanic_raw!B346</f>
        <v>0</v>
      </c>
      <c r="C346" s="17" t="str">
        <f t="shared" si="5"/>
        <v>Dead</v>
      </c>
      <c r="D346" s="17" t="str">
        <f>CONCATENATE(Titanic_raw!C346, " Class")</f>
        <v>3 Class</v>
      </c>
      <c r="E346" s="19" t="str">
        <f>INDEX(tbl_passenger[Full Name],MATCH(A346,tbl_passenger[PassengerId],0))</f>
        <v>Master. James William van Billiard</v>
      </c>
      <c r="F346" t="str">
        <f>INDEX(tbl_passenger[Sex],MATCH(A346,tbl_passenger[PassengerId],0))</f>
        <v>Male</v>
      </c>
      <c r="G346" t="str">
        <f>IF(tbl_figures[Age]&lt;20, "Teens (0-19)", IF(tbl_figures[Age] &lt;40, "Youth (20-39)", IF(tbl_figures[Age]&lt;60, "Adult (40-59)", IF(tbl_figures[Age]&gt;=60, "Elders (60-Above)"))))</f>
        <v>Youth (20-39)</v>
      </c>
      <c r="H346" s="25">
        <f>IF(ISBLANK(Titanic_raw!F346),$C$423,Titanic_raw!F346)</f>
        <v>30.272590325616491</v>
      </c>
      <c r="I346">
        <f>Titanic_raw!G346</f>
        <v>1</v>
      </c>
      <c r="J346">
        <f>Titanic_raw!H346</f>
        <v>1</v>
      </c>
      <c r="K346" t="str">
        <f>Titanic_raw!I346</f>
        <v>A/5. 851</v>
      </c>
      <c r="L346" s="26">
        <f>IF(ISBLANK(Titanic_raw!J346),$C$427,Titanic_raw!J346)</f>
        <v>14.5</v>
      </c>
      <c r="M346">
        <f>Titanic_raw!K346</f>
        <v>0</v>
      </c>
      <c r="N346" t="str">
        <f>IF(Titanic_raw!L346="S","Southampton",IF(Titanic_raw!L346="Q","Queenstown",IF(Titanic_raw!L346="C","Cherbourg")))</f>
        <v>Southampton</v>
      </c>
    </row>
    <row r="347" spans="1:14" x14ac:dyDescent="0.2">
      <c r="A347" s="18">
        <f>Titanic_raw!A347</f>
        <v>1237</v>
      </c>
      <c r="B347" s="21">
        <f>Titanic_raw!B347</f>
        <v>1</v>
      </c>
      <c r="C347" s="21" t="str">
        <f t="shared" si="5"/>
        <v>Survived</v>
      </c>
      <c r="D347" s="21" t="str">
        <f>CONCATENATE(Titanic_raw!C347, " Class")</f>
        <v>3 Class</v>
      </c>
      <c r="E347" s="23" t="str">
        <f>INDEX(tbl_passenger[Full Name],MATCH(A347,tbl_passenger[PassengerId],0))</f>
        <v>Miss. Karen Marie Abelseth</v>
      </c>
      <c r="F347" t="str">
        <f>INDEX(tbl_passenger[Sex],MATCH(A347,tbl_passenger[PassengerId],0))</f>
        <v>Female</v>
      </c>
      <c r="G347" t="str">
        <f>IF(tbl_figures[Age]&lt;20, "Teens (0-19)", IF(tbl_figures[Age] &lt;40, "Youth (20-39)", IF(tbl_figures[Age]&lt;60, "Adult (40-59)", IF(tbl_figures[Age]&gt;=60, "Elders (60-Above)"))))</f>
        <v>Teens (0-19)</v>
      </c>
      <c r="H347" s="25">
        <f>IF(ISBLANK(Titanic_raw!F347),$C$423,Titanic_raw!F347)</f>
        <v>16</v>
      </c>
      <c r="I347">
        <f>Titanic_raw!G347</f>
        <v>0</v>
      </c>
      <c r="J347">
        <f>Titanic_raw!H347</f>
        <v>0</v>
      </c>
      <c r="K347">
        <f>Titanic_raw!I347</f>
        <v>348125</v>
      </c>
      <c r="L347" s="26">
        <f>IF(ISBLANK(Titanic_raw!J347),$C$427,Titanic_raw!J347)</f>
        <v>7.65</v>
      </c>
      <c r="M347">
        <f>Titanic_raw!K347</f>
        <v>0</v>
      </c>
      <c r="N347" t="str">
        <f>IF(Titanic_raw!L347="S","Southampton",IF(Titanic_raw!L347="Q","Queenstown",IF(Titanic_raw!L347="C","Cherbourg")))</f>
        <v>Southampton</v>
      </c>
    </row>
    <row r="348" spans="1:14" x14ac:dyDescent="0.2">
      <c r="A348" s="18">
        <f>Titanic_raw!A348</f>
        <v>1238</v>
      </c>
      <c r="B348" s="17">
        <f>Titanic_raw!B348</f>
        <v>0</v>
      </c>
      <c r="C348" s="17" t="str">
        <f t="shared" si="5"/>
        <v>Dead</v>
      </c>
      <c r="D348" s="17" t="str">
        <f>CONCATENATE(Titanic_raw!C348, " Class")</f>
        <v>2 Class</v>
      </c>
      <c r="E348" s="19" t="str">
        <f>INDEX(tbl_passenger[Full Name],MATCH(A348,tbl_passenger[PassengerId],0))</f>
        <v>Mr. William Hull Botsford</v>
      </c>
      <c r="F348" t="str">
        <f>INDEX(tbl_passenger[Sex],MATCH(A348,tbl_passenger[PassengerId],0))</f>
        <v>Male</v>
      </c>
      <c r="G348" t="str">
        <f>IF(tbl_figures[Age]&lt;20, "Teens (0-19)", IF(tbl_figures[Age] &lt;40, "Youth (20-39)", IF(tbl_figures[Age]&lt;60, "Adult (40-59)", IF(tbl_figures[Age]&gt;=60, "Elders (60-Above)"))))</f>
        <v>Youth (20-39)</v>
      </c>
      <c r="H348" s="25">
        <f>IF(ISBLANK(Titanic_raw!F348),$C$423,Titanic_raw!F348)</f>
        <v>26</v>
      </c>
      <c r="I348">
        <f>Titanic_raw!G348</f>
        <v>0</v>
      </c>
      <c r="J348">
        <f>Titanic_raw!H348</f>
        <v>0</v>
      </c>
      <c r="K348">
        <f>Titanic_raw!I348</f>
        <v>237670</v>
      </c>
      <c r="L348" s="26">
        <f>IF(ISBLANK(Titanic_raw!J348),$C$427,Titanic_raw!J348)</f>
        <v>13</v>
      </c>
      <c r="M348">
        <f>Titanic_raw!K348</f>
        <v>0</v>
      </c>
      <c r="N348" t="str">
        <f>IF(Titanic_raw!L348="S","Southampton",IF(Titanic_raw!L348="Q","Queenstown",IF(Titanic_raw!L348="C","Cherbourg")))</f>
        <v>Southampton</v>
      </c>
    </row>
    <row r="349" spans="1:14" x14ac:dyDescent="0.2">
      <c r="A349" s="18">
        <f>Titanic_raw!A349</f>
        <v>1239</v>
      </c>
      <c r="B349" s="21">
        <f>Titanic_raw!B349</f>
        <v>1</v>
      </c>
      <c r="C349" s="21" t="str">
        <f t="shared" si="5"/>
        <v>Survived</v>
      </c>
      <c r="D349" s="21" t="str">
        <f>CONCATENATE(Titanic_raw!C349, " Class")</f>
        <v>3 Class</v>
      </c>
      <c r="E349" s="23" t="str">
        <f>INDEX(tbl_passenger[Full Name],MATCH(A349,tbl_passenger[PassengerId],0))</f>
        <v>Mrs. George Joseph (Shawneene Abi-Saab) Whabee</v>
      </c>
      <c r="F349" t="str">
        <f>INDEX(tbl_passenger[Sex],MATCH(A349,tbl_passenger[PassengerId],0))</f>
        <v>Female</v>
      </c>
      <c r="G349" t="str">
        <f>IF(tbl_figures[Age]&lt;20, "Teens (0-19)", IF(tbl_figures[Age] &lt;40, "Youth (20-39)", IF(tbl_figures[Age]&lt;60, "Adult (40-59)", IF(tbl_figures[Age]&gt;=60, "Elders (60-Above)"))))</f>
        <v>Youth (20-39)</v>
      </c>
      <c r="H349" s="25">
        <f>IF(ISBLANK(Titanic_raw!F349),$C$423,Titanic_raw!F349)</f>
        <v>38</v>
      </c>
      <c r="I349">
        <f>Titanic_raw!G349</f>
        <v>0</v>
      </c>
      <c r="J349">
        <f>Titanic_raw!H349</f>
        <v>0</v>
      </c>
      <c r="K349">
        <f>Titanic_raw!I349</f>
        <v>2688</v>
      </c>
      <c r="L349" s="26">
        <f>IF(ISBLANK(Titanic_raw!J349),$C$427,Titanic_raw!J349)</f>
        <v>7.2291999999999996</v>
      </c>
      <c r="M349">
        <f>Titanic_raw!K349</f>
        <v>0</v>
      </c>
      <c r="N349" t="str">
        <f>IF(Titanic_raw!L349="S","Southampton",IF(Titanic_raw!L349="Q","Queenstown",IF(Titanic_raw!L349="C","Cherbourg")))</f>
        <v>Cherbourg</v>
      </c>
    </row>
    <row r="350" spans="1:14" x14ac:dyDescent="0.2">
      <c r="A350" s="18">
        <f>Titanic_raw!A350</f>
        <v>1240</v>
      </c>
      <c r="B350" s="17">
        <f>Titanic_raw!B350</f>
        <v>0</v>
      </c>
      <c r="C350" s="17" t="str">
        <f t="shared" si="5"/>
        <v>Dead</v>
      </c>
      <c r="D350" s="17" t="str">
        <f>CONCATENATE(Titanic_raw!C350, " Class")</f>
        <v>2 Class</v>
      </c>
      <c r="E350" s="19" t="str">
        <f>INDEX(tbl_passenger[Full Name],MATCH(A350,tbl_passenger[PassengerId],0))</f>
        <v>Mr. Ralph Giles</v>
      </c>
      <c r="F350" t="str">
        <f>INDEX(tbl_passenger[Sex],MATCH(A350,tbl_passenger[PassengerId],0))</f>
        <v>Male</v>
      </c>
      <c r="G350" t="str">
        <f>IF(tbl_figures[Age]&lt;20, "Teens (0-19)", IF(tbl_figures[Age] &lt;40, "Youth (20-39)", IF(tbl_figures[Age]&lt;60, "Adult (40-59)", IF(tbl_figures[Age]&gt;=60, "Elders (60-Above)"))))</f>
        <v>Youth (20-39)</v>
      </c>
      <c r="H350" s="25">
        <f>IF(ISBLANK(Titanic_raw!F350),$C$423,Titanic_raw!F350)</f>
        <v>24</v>
      </c>
      <c r="I350">
        <f>Titanic_raw!G350</f>
        <v>0</v>
      </c>
      <c r="J350">
        <f>Titanic_raw!H350</f>
        <v>0</v>
      </c>
      <c r="K350">
        <f>Titanic_raw!I350</f>
        <v>248726</v>
      </c>
      <c r="L350" s="26">
        <f>IF(ISBLANK(Titanic_raw!J350),$C$427,Titanic_raw!J350)</f>
        <v>13.5</v>
      </c>
      <c r="M350">
        <f>Titanic_raw!K350</f>
        <v>0</v>
      </c>
      <c r="N350" t="str">
        <f>IF(Titanic_raw!L350="S","Southampton",IF(Titanic_raw!L350="Q","Queenstown",IF(Titanic_raw!L350="C","Cherbourg")))</f>
        <v>Southampton</v>
      </c>
    </row>
    <row r="351" spans="1:14" x14ac:dyDescent="0.2">
      <c r="A351" s="18">
        <f>Titanic_raw!A351</f>
        <v>1241</v>
      </c>
      <c r="B351" s="21">
        <f>Titanic_raw!B351</f>
        <v>1</v>
      </c>
      <c r="C351" s="21" t="str">
        <f t="shared" si="5"/>
        <v>Survived</v>
      </c>
      <c r="D351" s="21" t="str">
        <f>CONCATENATE(Titanic_raw!C351, " Class")</f>
        <v>2 Class</v>
      </c>
      <c r="E351" s="23" t="str">
        <f>INDEX(tbl_passenger[Full Name],MATCH(A351,tbl_passenger[PassengerId],0))</f>
        <v>Miss. Nellie Walcroft</v>
      </c>
      <c r="F351" t="str">
        <f>INDEX(tbl_passenger[Sex],MATCH(A351,tbl_passenger[PassengerId],0))</f>
        <v>Female</v>
      </c>
      <c r="G351" t="str">
        <f>IF(tbl_figures[Age]&lt;20, "Teens (0-19)", IF(tbl_figures[Age] &lt;40, "Youth (20-39)", IF(tbl_figures[Age]&lt;60, "Adult (40-59)", IF(tbl_figures[Age]&gt;=60, "Elders (60-Above)"))))</f>
        <v>Youth (20-39)</v>
      </c>
      <c r="H351" s="25">
        <f>IF(ISBLANK(Titanic_raw!F351),$C$423,Titanic_raw!F351)</f>
        <v>31</v>
      </c>
      <c r="I351">
        <f>Titanic_raw!G351</f>
        <v>0</v>
      </c>
      <c r="J351">
        <f>Titanic_raw!H351</f>
        <v>0</v>
      </c>
      <c r="K351" t="str">
        <f>Titanic_raw!I351</f>
        <v>F.C.C. 13528</v>
      </c>
      <c r="L351" s="26">
        <f>IF(ISBLANK(Titanic_raw!J351),$C$427,Titanic_raw!J351)</f>
        <v>21</v>
      </c>
      <c r="M351">
        <f>Titanic_raw!K351</f>
        <v>0</v>
      </c>
      <c r="N351" t="str">
        <f>IF(Titanic_raw!L351="S","Southampton",IF(Titanic_raw!L351="Q","Queenstown",IF(Titanic_raw!L351="C","Cherbourg")))</f>
        <v>Southampton</v>
      </c>
    </row>
    <row r="352" spans="1:14" x14ac:dyDescent="0.2">
      <c r="A352" s="18">
        <f>Titanic_raw!A352</f>
        <v>1242</v>
      </c>
      <c r="B352" s="17">
        <f>Titanic_raw!B352</f>
        <v>1</v>
      </c>
      <c r="C352" s="17" t="str">
        <f t="shared" si="5"/>
        <v>Survived</v>
      </c>
      <c r="D352" s="17" t="str">
        <f>CONCATENATE(Titanic_raw!C352, " Class")</f>
        <v>1 Class</v>
      </c>
      <c r="E352" s="19" t="str">
        <f>INDEX(tbl_passenger[Full Name],MATCH(A352,tbl_passenger[PassengerId],0))</f>
        <v>Mrs. Leo David (Blanche Strouse) Greenfield</v>
      </c>
      <c r="F352" t="str">
        <f>INDEX(tbl_passenger[Sex],MATCH(A352,tbl_passenger[PassengerId],0))</f>
        <v>Female</v>
      </c>
      <c r="G352" t="str">
        <f>IF(tbl_figures[Age]&lt;20, "Teens (0-19)", IF(tbl_figures[Age] &lt;40, "Youth (20-39)", IF(tbl_figures[Age]&lt;60, "Adult (40-59)", IF(tbl_figures[Age]&gt;=60, "Elders (60-Above)"))))</f>
        <v>Adult (40-59)</v>
      </c>
      <c r="H352" s="25">
        <f>IF(ISBLANK(Titanic_raw!F352),$C$423,Titanic_raw!F352)</f>
        <v>45</v>
      </c>
      <c r="I352">
        <f>Titanic_raw!G352</f>
        <v>0</v>
      </c>
      <c r="J352">
        <f>Titanic_raw!H352</f>
        <v>1</v>
      </c>
      <c r="K352" t="str">
        <f>Titanic_raw!I352</f>
        <v>PC 17759</v>
      </c>
      <c r="L352" s="26">
        <f>IF(ISBLANK(Titanic_raw!J352),$C$427,Titanic_raw!J352)</f>
        <v>63.3583</v>
      </c>
      <c r="M352" t="str">
        <f>Titanic_raw!K352</f>
        <v>D10 D12</v>
      </c>
      <c r="N352" t="str">
        <f>IF(Titanic_raw!L352="S","Southampton",IF(Titanic_raw!L352="Q","Queenstown",IF(Titanic_raw!L352="C","Cherbourg")))</f>
        <v>Cherbourg</v>
      </c>
    </row>
    <row r="353" spans="1:14" x14ac:dyDescent="0.2">
      <c r="A353" s="18">
        <f>Titanic_raw!A353</f>
        <v>1243</v>
      </c>
      <c r="B353" s="21">
        <f>Titanic_raw!B353</f>
        <v>0</v>
      </c>
      <c r="C353" s="21" t="str">
        <f t="shared" si="5"/>
        <v>Dead</v>
      </c>
      <c r="D353" s="21" t="str">
        <f>CONCATENATE(Titanic_raw!C353, " Class")</f>
        <v>2 Class</v>
      </c>
      <c r="E353" s="23" t="str">
        <f>INDEX(tbl_passenger[Full Name],MATCH(A353,tbl_passenger[PassengerId],0))</f>
        <v>Mr. Philip Joseph Stokes</v>
      </c>
      <c r="F353" t="str">
        <f>INDEX(tbl_passenger[Sex],MATCH(A353,tbl_passenger[PassengerId],0))</f>
        <v>Male</v>
      </c>
      <c r="G353" t="str">
        <f>IF(tbl_figures[Age]&lt;20, "Teens (0-19)", IF(tbl_figures[Age] &lt;40, "Youth (20-39)", IF(tbl_figures[Age]&lt;60, "Adult (40-59)", IF(tbl_figures[Age]&gt;=60, "Elders (60-Above)"))))</f>
        <v>Youth (20-39)</v>
      </c>
      <c r="H353" s="25">
        <f>IF(ISBLANK(Titanic_raw!F353),$C$423,Titanic_raw!F353)</f>
        <v>25</v>
      </c>
      <c r="I353">
        <f>Titanic_raw!G353</f>
        <v>0</v>
      </c>
      <c r="J353">
        <f>Titanic_raw!H353</f>
        <v>0</v>
      </c>
      <c r="K353" t="str">
        <f>Titanic_raw!I353</f>
        <v>F.C.C. 13540</v>
      </c>
      <c r="L353" s="26">
        <f>IF(ISBLANK(Titanic_raw!J353),$C$427,Titanic_raw!J353)</f>
        <v>10.5</v>
      </c>
      <c r="M353">
        <f>Titanic_raw!K353</f>
        <v>0</v>
      </c>
      <c r="N353" t="str">
        <f>IF(Titanic_raw!L353="S","Southampton",IF(Titanic_raw!L353="Q","Queenstown",IF(Titanic_raw!L353="C","Cherbourg")))</f>
        <v>Southampton</v>
      </c>
    </row>
    <row r="354" spans="1:14" x14ac:dyDescent="0.2">
      <c r="A354" s="18">
        <f>Titanic_raw!A354</f>
        <v>1244</v>
      </c>
      <c r="B354" s="17">
        <f>Titanic_raw!B354</f>
        <v>0</v>
      </c>
      <c r="C354" s="17" t="str">
        <f t="shared" si="5"/>
        <v>Dead</v>
      </c>
      <c r="D354" s="17" t="str">
        <f>CONCATENATE(Titanic_raw!C354, " Class")</f>
        <v>2 Class</v>
      </c>
      <c r="E354" s="19" t="str">
        <f>INDEX(tbl_passenger[Full Name],MATCH(A354,tbl_passenger[PassengerId],0))</f>
        <v>Mr. William Dibden</v>
      </c>
      <c r="F354" t="str">
        <f>INDEX(tbl_passenger[Sex],MATCH(A354,tbl_passenger[PassengerId],0))</f>
        <v>Male</v>
      </c>
      <c r="G354" t="str">
        <f>IF(tbl_figures[Age]&lt;20, "Teens (0-19)", IF(tbl_figures[Age] &lt;40, "Youth (20-39)", IF(tbl_figures[Age]&lt;60, "Adult (40-59)", IF(tbl_figures[Age]&gt;=60, "Elders (60-Above)"))))</f>
        <v>Teens (0-19)</v>
      </c>
      <c r="H354" s="25">
        <f>IF(ISBLANK(Titanic_raw!F354),$C$423,Titanic_raw!F354)</f>
        <v>18</v>
      </c>
      <c r="I354">
        <f>Titanic_raw!G354</f>
        <v>0</v>
      </c>
      <c r="J354">
        <f>Titanic_raw!H354</f>
        <v>0</v>
      </c>
      <c r="K354" t="str">
        <f>Titanic_raw!I354</f>
        <v>S.O.C. 14879</v>
      </c>
      <c r="L354" s="26">
        <f>IF(ISBLANK(Titanic_raw!J354),$C$427,Titanic_raw!J354)</f>
        <v>73.5</v>
      </c>
      <c r="M354">
        <f>Titanic_raw!K354</f>
        <v>0</v>
      </c>
      <c r="N354" t="str">
        <f>IF(Titanic_raw!L354="S","Southampton",IF(Titanic_raw!L354="Q","Queenstown",IF(Titanic_raw!L354="C","Cherbourg")))</f>
        <v>Southampton</v>
      </c>
    </row>
    <row r="355" spans="1:14" x14ac:dyDescent="0.2">
      <c r="A355" s="18">
        <f>Titanic_raw!A355</f>
        <v>1245</v>
      </c>
      <c r="B355" s="21">
        <f>Titanic_raw!B355</f>
        <v>0</v>
      </c>
      <c r="C355" s="21" t="str">
        <f t="shared" si="5"/>
        <v>Dead</v>
      </c>
      <c r="D355" s="21" t="str">
        <f>CONCATENATE(Titanic_raw!C355, " Class")</f>
        <v>2 Class</v>
      </c>
      <c r="E355" s="23" t="str">
        <f>INDEX(tbl_passenger[Full Name],MATCH(A355,tbl_passenger[PassengerId],0))</f>
        <v>Mr. Samuel Herman</v>
      </c>
      <c r="F355" t="str">
        <f>INDEX(tbl_passenger[Sex],MATCH(A355,tbl_passenger[PassengerId],0))</f>
        <v>Male</v>
      </c>
      <c r="G355" t="str">
        <f>IF(tbl_figures[Age]&lt;20, "Teens (0-19)", IF(tbl_figures[Age] &lt;40, "Youth (20-39)", IF(tbl_figures[Age]&lt;60, "Adult (40-59)", IF(tbl_figures[Age]&gt;=60, "Elders (60-Above)"))))</f>
        <v>Adult (40-59)</v>
      </c>
      <c r="H355" s="25">
        <f>IF(ISBLANK(Titanic_raw!F355),$C$423,Titanic_raw!F355)</f>
        <v>49</v>
      </c>
      <c r="I355">
        <f>Titanic_raw!G355</f>
        <v>1</v>
      </c>
      <c r="J355">
        <f>Titanic_raw!H355</f>
        <v>2</v>
      </c>
      <c r="K355">
        <f>Titanic_raw!I355</f>
        <v>220845</v>
      </c>
      <c r="L355" s="26">
        <f>IF(ISBLANK(Titanic_raw!J355),$C$427,Titanic_raw!J355)</f>
        <v>65</v>
      </c>
      <c r="M355">
        <f>Titanic_raw!K355</f>
        <v>0</v>
      </c>
      <c r="N355" t="str">
        <f>IF(Titanic_raw!L355="S","Southampton",IF(Titanic_raw!L355="Q","Queenstown",IF(Titanic_raw!L355="C","Cherbourg")))</f>
        <v>Southampton</v>
      </c>
    </row>
    <row r="356" spans="1:14" x14ac:dyDescent="0.2">
      <c r="A356" s="18">
        <f>Titanic_raw!A356</f>
        <v>1246</v>
      </c>
      <c r="B356" s="17">
        <f>Titanic_raw!B356</f>
        <v>1</v>
      </c>
      <c r="C356" s="17" t="str">
        <f t="shared" si="5"/>
        <v>Survived</v>
      </c>
      <c r="D356" s="17" t="str">
        <f>CONCATENATE(Titanic_raw!C356, " Class")</f>
        <v>3 Class</v>
      </c>
      <c r="E356" s="19" t="str">
        <f>INDEX(tbl_passenger[Full Name],MATCH(A356,tbl_passenger[PassengerId],0))</f>
        <v>Miss. Elizabeth Gladys Millvina"" Dean</v>
      </c>
      <c r="F356" t="str">
        <f>INDEX(tbl_passenger[Sex],MATCH(A356,tbl_passenger[PassengerId],0))</f>
        <v>Female</v>
      </c>
      <c r="G356" t="str">
        <f>IF(tbl_figures[Age]&lt;20, "Teens (0-19)", IF(tbl_figures[Age] &lt;40, "Youth (20-39)", IF(tbl_figures[Age]&lt;60, "Adult (40-59)", IF(tbl_figures[Age]&gt;=60, "Elders (60-Above)"))))</f>
        <v>Teens (0-19)</v>
      </c>
      <c r="H356" s="25">
        <f>IF(ISBLANK(Titanic_raw!F356),$C$423,Titanic_raw!F356)</f>
        <v>0.17</v>
      </c>
      <c r="I356">
        <f>Titanic_raw!G356</f>
        <v>1</v>
      </c>
      <c r="J356">
        <f>Titanic_raw!H356</f>
        <v>2</v>
      </c>
      <c r="K356" t="str">
        <f>Titanic_raw!I356</f>
        <v>C.A. 2315</v>
      </c>
      <c r="L356" s="26">
        <f>IF(ISBLANK(Titanic_raw!J356),$C$427,Titanic_raw!J356)</f>
        <v>20.574999999999999</v>
      </c>
      <c r="M356">
        <f>Titanic_raw!K356</f>
        <v>0</v>
      </c>
      <c r="N356" t="str">
        <f>IF(Titanic_raw!L356="S","Southampton",IF(Titanic_raw!L356="Q","Queenstown",IF(Titanic_raw!L356="C","Cherbourg")))</f>
        <v>Southampton</v>
      </c>
    </row>
    <row r="357" spans="1:14" x14ac:dyDescent="0.2">
      <c r="A357" s="18">
        <f>Titanic_raw!A357</f>
        <v>1247</v>
      </c>
      <c r="B357" s="21">
        <f>Titanic_raw!B357</f>
        <v>0</v>
      </c>
      <c r="C357" s="21" t="str">
        <f t="shared" si="5"/>
        <v>Dead</v>
      </c>
      <c r="D357" s="21" t="str">
        <f>CONCATENATE(Titanic_raw!C357, " Class")</f>
        <v>1 Class</v>
      </c>
      <c r="E357" s="23" t="str">
        <f>INDEX(tbl_passenger[Full Name],MATCH(A357,tbl_passenger[PassengerId],0))</f>
        <v>Mr. Henry Forbes Julian</v>
      </c>
      <c r="F357" t="str">
        <f>INDEX(tbl_passenger[Sex],MATCH(A357,tbl_passenger[PassengerId],0))</f>
        <v>Male</v>
      </c>
      <c r="G357" t="str">
        <f>IF(tbl_figures[Age]&lt;20, "Teens (0-19)", IF(tbl_figures[Age] &lt;40, "Youth (20-39)", IF(tbl_figures[Age]&lt;60, "Adult (40-59)", IF(tbl_figures[Age]&gt;=60, "Elders (60-Above)"))))</f>
        <v>Adult (40-59)</v>
      </c>
      <c r="H357" s="25">
        <f>IF(ISBLANK(Titanic_raw!F357),$C$423,Titanic_raw!F357)</f>
        <v>50</v>
      </c>
      <c r="I357">
        <f>Titanic_raw!G357</f>
        <v>0</v>
      </c>
      <c r="J357">
        <f>Titanic_raw!H357</f>
        <v>0</v>
      </c>
      <c r="K357">
        <f>Titanic_raw!I357</f>
        <v>113044</v>
      </c>
      <c r="L357" s="26">
        <f>IF(ISBLANK(Titanic_raw!J357),$C$427,Titanic_raw!J357)</f>
        <v>26</v>
      </c>
      <c r="M357" t="str">
        <f>Titanic_raw!K357</f>
        <v>E60</v>
      </c>
      <c r="N357" t="str">
        <f>IF(Titanic_raw!L357="S","Southampton",IF(Titanic_raw!L357="Q","Queenstown",IF(Titanic_raw!L357="C","Cherbourg")))</f>
        <v>Southampton</v>
      </c>
    </row>
    <row r="358" spans="1:14" x14ac:dyDescent="0.2">
      <c r="A358" s="18">
        <f>Titanic_raw!A358</f>
        <v>1248</v>
      </c>
      <c r="B358" s="17">
        <f>Titanic_raw!B358</f>
        <v>1</v>
      </c>
      <c r="C358" s="17" t="str">
        <f t="shared" si="5"/>
        <v>Survived</v>
      </c>
      <c r="D358" s="17" t="str">
        <f>CONCATENATE(Titanic_raw!C358, " Class")</f>
        <v>1 Class</v>
      </c>
      <c r="E358" s="19" t="str">
        <f>INDEX(tbl_passenger[Full Name],MATCH(A358,tbl_passenger[PassengerId],0))</f>
        <v>Mrs. John Murray (Caroline Lane Lamson) Brown</v>
      </c>
      <c r="F358" t="str">
        <f>INDEX(tbl_passenger[Sex],MATCH(A358,tbl_passenger[PassengerId],0))</f>
        <v>Female</v>
      </c>
      <c r="G358" t="str">
        <f>IF(tbl_figures[Age]&lt;20, "Teens (0-19)", IF(tbl_figures[Age] &lt;40, "Youth (20-39)", IF(tbl_figures[Age]&lt;60, "Adult (40-59)", IF(tbl_figures[Age]&gt;=60, "Elders (60-Above)"))))</f>
        <v>Adult (40-59)</v>
      </c>
      <c r="H358" s="25">
        <f>IF(ISBLANK(Titanic_raw!F358),$C$423,Titanic_raw!F358)</f>
        <v>59</v>
      </c>
      <c r="I358">
        <f>Titanic_raw!G358</f>
        <v>2</v>
      </c>
      <c r="J358">
        <f>Titanic_raw!H358</f>
        <v>0</v>
      </c>
      <c r="K358">
        <f>Titanic_raw!I358</f>
        <v>11769</v>
      </c>
      <c r="L358" s="26">
        <f>IF(ISBLANK(Titanic_raw!J358),$C$427,Titanic_raw!J358)</f>
        <v>51.479199999999999</v>
      </c>
      <c r="M358" t="str">
        <f>Titanic_raw!K358</f>
        <v>C101</v>
      </c>
      <c r="N358" t="str">
        <f>IF(Titanic_raw!L358="S","Southampton",IF(Titanic_raw!L358="Q","Queenstown",IF(Titanic_raw!L358="C","Cherbourg")))</f>
        <v>Southampton</v>
      </c>
    </row>
    <row r="359" spans="1:14" x14ac:dyDescent="0.2">
      <c r="A359" s="18">
        <f>Titanic_raw!A359</f>
        <v>1249</v>
      </c>
      <c r="B359" s="21">
        <f>Titanic_raw!B359</f>
        <v>0</v>
      </c>
      <c r="C359" s="21" t="str">
        <f t="shared" si="5"/>
        <v>Dead</v>
      </c>
      <c r="D359" s="21" t="str">
        <f>CONCATENATE(Titanic_raw!C359, " Class")</f>
        <v>3 Class</v>
      </c>
      <c r="E359" s="23" t="str">
        <f>INDEX(tbl_passenger[Full Name],MATCH(A359,tbl_passenger[PassengerId],0))</f>
        <v>Mr. Edward Lockyer</v>
      </c>
      <c r="F359" t="str">
        <f>INDEX(tbl_passenger[Sex],MATCH(A359,tbl_passenger[PassengerId],0))</f>
        <v>Male</v>
      </c>
      <c r="G359" t="str">
        <f>IF(tbl_figures[Age]&lt;20, "Teens (0-19)", IF(tbl_figures[Age] &lt;40, "Youth (20-39)", IF(tbl_figures[Age]&lt;60, "Adult (40-59)", IF(tbl_figures[Age]&gt;=60, "Elders (60-Above)"))))</f>
        <v>Youth (20-39)</v>
      </c>
      <c r="H359" s="25">
        <f>IF(ISBLANK(Titanic_raw!F359),$C$423,Titanic_raw!F359)</f>
        <v>30.272590325616491</v>
      </c>
      <c r="I359">
        <f>Titanic_raw!G359</f>
        <v>0</v>
      </c>
      <c r="J359">
        <f>Titanic_raw!H359</f>
        <v>0</v>
      </c>
      <c r="K359">
        <f>Titanic_raw!I359</f>
        <v>1222</v>
      </c>
      <c r="L359" s="26">
        <f>IF(ISBLANK(Titanic_raw!J359),$C$427,Titanic_raw!J359)</f>
        <v>7.8792</v>
      </c>
      <c r="M359">
        <f>Titanic_raw!K359</f>
        <v>0</v>
      </c>
      <c r="N359" t="str">
        <f>IF(Titanic_raw!L359="S","Southampton",IF(Titanic_raw!L359="Q","Queenstown",IF(Titanic_raw!L359="C","Cherbourg")))</f>
        <v>Southampton</v>
      </c>
    </row>
    <row r="360" spans="1:14" x14ac:dyDescent="0.2">
      <c r="A360" s="18">
        <f>Titanic_raw!A360</f>
        <v>1250</v>
      </c>
      <c r="B360" s="17">
        <f>Titanic_raw!B360</f>
        <v>0</v>
      </c>
      <c r="C360" s="17" t="str">
        <f t="shared" si="5"/>
        <v>Dead</v>
      </c>
      <c r="D360" s="17" t="str">
        <f>CONCATENATE(Titanic_raw!C360, " Class")</f>
        <v>3 Class</v>
      </c>
      <c r="E360" s="19" t="str">
        <f>INDEX(tbl_passenger[Full Name],MATCH(A360,tbl_passenger[PassengerId],0))</f>
        <v>Mr. Patrick O'Keefe</v>
      </c>
      <c r="F360" t="str">
        <f>INDEX(tbl_passenger[Sex],MATCH(A360,tbl_passenger[PassengerId],0))</f>
        <v>Male</v>
      </c>
      <c r="G360" t="str">
        <f>IF(tbl_figures[Age]&lt;20, "Teens (0-19)", IF(tbl_figures[Age] &lt;40, "Youth (20-39)", IF(tbl_figures[Age]&lt;60, "Adult (40-59)", IF(tbl_figures[Age]&gt;=60, "Elders (60-Above)"))))</f>
        <v>Youth (20-39)</v>
      </c>
      <c r="H360" s="25">
        <f>IF(ISBLANK(Titanic_raw!F360),$C$423,Titanic_raw!F360)</f>
        <v>30.272590325616491</v>
      </c>
      <c r="I360">
        <f>Titanic_raw!G360</f>
        <v>0</v>
      </c>
      <c r="J360">
        <f>Titanic_raw!H360</f>
        <v>0</v>
      </c>
      <c r="K360">
        <f>Titanic_raw!I360</f>
        <v>368402</v>
      </c>
      <c r="L360" s="26">
        <f>IF(ISBLANK(Titanic_raw!J360),$C$427,Titanic_raw!J360)</f>
        <v>7.75</v>
      </c>
      <c r="M360">
        <f>Titanic_raw!K360</f>
        <v>0</v>
      </c>
      <c r="N360" t="str">
        <f>IF(Titanic_raw!L360="S","Southampton",IF(Titanic_raw!L360="Q","Queenstown",IF(Titanic_raw!L360="C","Cherbourg")))</f>
        <v>Queenstown</v>
      </c>
    </row>
    <row r="361" spans="1:14" x14ac:dyDescent="0.2">
      <c r="A361" s="18">
        <f>Titanic_raw!A361</f>
        <v>1251</v>
      </c>
      <c r="B361" s="21">
        <f>Titanic_raw!B361</f>
        <v>1</v>
      </c>
      <c r="C361" s="21" t="str">
        <f t="shared" si="5"/>
        <v>Survived</v>
      </c>
      <c r="D361" s="21" t="str">
        <f>CONCATENATE(Titanic_raw!C361, " Class")</f>
        <v>3 Class</v>
      </c>
      <c r="E361" s="23" t="str">
        <f>INDEX(tbl_passenger[Full Name],MATCH(A361,tbl_passenger[PassengerId],0))</f>
        <v>Mrs. Edvard Bengtsson (Elin Gerda Persson) Lindell</v>
      </c>
      <c r="F361" t="str">
        <f>INDEX(tbl_passenger[Sex],MATCH(A361,tbl_passenger[PassengerId],0))</f>
        <v>Female</v>
      </c>
      <c r="G361" t="str">
        <f>IF(tbl_figures[Age]&lt;20, "Teens (0-19)", IF(tbl_figures[Age] &lt;40, "Youth (20-39)", IF(tbl_figures[Age]&lt;60, "Adult (40-59)", IF(tbl_figures[Age]&gt;=60, "Elders (60-Above)"))))</f>
        <v>Youth (20-39)</v>
      </c>
      <c r="H361" s="25">
        <f>IF(ISBLANK(Titanic_raw!F361),$C$423,Titanic_raw!F361)</f>
        <v>30</v>
      </c>
      <c r="I361">
        <f>Titanic_raw!G361</f>
        <v>1</v>
      </c>
      <c r="J361">
        <f>Titanic_raw!H361</f>
        <v>0</v>
      </c>
      <c r="K361">
        <f>Titanic_raw!I361</f>
        <v>349910</v>
      </c>
      <c r="L361" s="26">
        <f>IF(ISBLANK(Titanic_raw!J361),$C$427,Titanic_raw!J361)</f>
        <v>15.55</v>
      </c>
      <c r="M361">
        <f>Titanic_raw!K361</f>
        <v>0</v>
      </c>
      <c r="N361" t="str">
        <f>IF(Titanic_raw!L361="S","Southampton",IF(Titanic_raw!L361="Q","Queenstown",IF(Titanic_raw!L361="C","Cherbourg")))</f>
        <v>Southampton</v>
      </c>
    </row>
    <row r="362" spans="1:14" x14ac:dyDescent="0.2">
      <c r="A362" s="18">
        <f>Titanic_raw!A362</f>
        <v>1252</v>
      </c>
      <c r="B362" s="17">
        <f>Titanic_raw!B362</f>
        <v>0</v>
      </c>
      <c r="C362" s="17" t="str">
        <f t="shared" si="5"/>
        <v>Dead</v>
      </c>
      <c r="D362" s="17" t="str">
        <f>CONCATENATE(Titanic_raw!C362, " Class")</f>
        <v>3 Class</v>
      </c>
      <c r="E362" s="19" t="str">
        <f>INDEX(tbl_passenger[Full Name],MATCH(A362,tbl_passenger[PassengerId],0))</f>
        <v>Master. William Henry Sage</v>
      </c>
      <c r="F362" t="str">
        <f>INDEX(tbl_passenger[Sex],MATCH(A362,tbl_passenger[PassengerId],0))</f>
        <v>Male</v>
      </c>
      <c r="G362" t="str">
        <f>IF(tbl_figures[Age]&lt;20, "Teens (0-19)", IF(tbl_figures[Age] &lt;40, "Youth (20-39)", IF(tbl_figures[Age]&lt;60, "Adult (40-59)", IF(tbl_figures[Age]&gt;=60, "Elders (60-Above)"))))</f>
        <v>Teens (0-19)</v>
      </c>
      <c r="H362" s="25">
        <f>IF(ISBLANK(Titanic_raw!F362),$C$423,Titanic_raw!F362)</f>
        <v>14.5</v>
      </c>
      <c r="I362">
        <f>Titanic_raw!G362</f>
        <v>8</v>
      </c>
      <c r="J362">
        <f>Titanic_raw!H362</f>
        <v>2</v>
      </c>
      <c r="K362" t="str">
        <f>Titanic_raw!I362</f>
        <v>CA. 2343</v>
      </c>
      <c r="L362" s="26">
        <f>IF(ISBLANK(Titanic_raw!J362),$C$427,Titanic_raw!J362)</f>
        <v>69.55</v>
      </c>
      <c r="M362">
        <f>Titanic_raw!K362</f>
        <v>0</v>
      </c>
      <c r="N362" t="str">
        <f>IF(Titanic_raw!L362="S","Southampton",IF(Titanic_raw!L362="Q","Queenstown",IF(Titanic_raw!L362="C","Cherbourg")))</f>
        <v>Southampton</v>
      </c>
    </row>
    <row r="363" spans="1:14" x14ac:dyDescent="0.2">
      <c r="A363" s="18">
        <f>Titanic_raw!A363</f>
        <v>1253</v>
      </c>
      <c r="B363" s="21">
        <f>Titanic_raw!B363</f>
        <v>1</v>
      </c>
      <c r="C363" s="21" t="str">
        <f t="shared" si="5"/>
        <v>Survived</v>
      </c>
      <c r="D363" s="21" t="str">
        <f>CONCATENATE(Titanic_raw!C363, " Class")</f>
        <v>2 Class</v>
      </c>
      <c r="E363" s="23" t="str">
        <f>INDEX(tbl_passenger[Full Name],MATCH(A363,tbl_passenger[PassengerId],0))</f>
        <v>Mrs. Albert (Antoinette Magnin) Mallet</v>
      </c>
      <c r="F363" t="str">
        <f>INDEX(tbl_passenger[Sex],MATCH(A363,tbl_passenger[PassengerId],0))</f>
        <v>Female</v>
      </c>
      <c r="G363" t="str">
        <f>IF(tbl_figures[Age]&lt;20, "Teens (0-19)", IF(tbl_figures[Age] &lt;40, "Youth (20-39)", IF(tbl_figures[Age]&lt;60, "Adult (40-59)", IF(tbl_figures[Age]&gt;=60, "Elders (60-Above)"))))</f>
        <v>Youth (20-39)</v>
      </c>
      <c r="H363" s="25">
        <f>IF(ISBLANK(Titanic_raw!F363),$C$423,Titanic_raw!F363)</f>
        <v>24</v>
      </c>
      <c r="I363">
        <f>Titanic_raw!G363</f>
        <v>1</v>
      </c>
      <c r="J363">
        <f>Titanic_raw!H363</f>
        <v>1</v>
      </c>
      <c r="K363" t="str">
        <f>Titanic_raw!I363</f>
        <v>S.C./PARIS 2079</v>
      </c>
      <c r="L363" s="26">
        <f>IF(ISBLANK(Titanic_raw!J363),$C$427,Titanic_raw!J363)</f>
        <v>37.004199999999997</v>
      </c>
      <c r="M363">
        <f>Titanic_raw!K363</f>
        <v>0</v>
      </c>
      <c r="N363" t="str">
        <f>IF(Titanic_raw!L363="S","Southampton",IF(Titanic_raw!L363="Q","Queenstown",IF(Titanic_raw!L363="C","Cherbourg")))</f>
        <v>Cherbourg</v>
      </c>
    </row>
    <row r="364" spans="1:14" x14ac:dyDescent="0.2">
      <c r="A364" s="18">
        <f>Titanic_raw!A364</f>
        <v>1254</v>
      </c>
      <c r="B364" s="17">
        <f>Titanic_raw!B364</f>
        <v>1</v>
      </c>
      <c r="C364" s="17" t="str">
        <f t="shared" si="5"/>
        <v>Survived</v>
      </c>
      <c r="D364" s="17" t="str">
        <f>CONCATENATE(Titanic_raw!C364, " Class")</f>
        <v>2 Class</v>
      </c>
      <c r="E364" s="19" t="str">
        <f>INDEX(tbl_passenger[Full Name],MATCH(A364,tbl_passenger[PassengerId],0))</f>
        <v>Mrs. John James (Florence Louise Long) Ware</v>
      </c>
      <c r="F364" t="str">
        <f>INDEX(tbl_passenger[Sex],MATCH(A364,tbl_passenger[PassengerId],0))</f>
        <v>Female</v>
      </c>
      <c r="G364" t="str">
        <f>IF(tbl_figures[Age]&lt;20, "Teens (0-19)", IF(tbl_figures[Age] &lt;40, "Youth (20-39)", IF(tbl_figures[Age]&lt;60, "Adult (40-59)", IF(tbl_figures[Age]&gt;=60, "Elders (60-Above)"))))</f>
        <v>Youth (20-39)</v>
      </c>
      <c r="H364" s="25">
        <f>IF(ISBLANK(Titanic_raw!F364),$C$423,Titanic_raw!F364)</f>
        <v>31</v>
      </c>
      <c r="I364">
        <f>Titanic_raw!G364</f>
        <v>0</v>
      </c>
      <c r="J364">
        <f>Titanic_raw!H364</f>
        <v>0</v>
      </c>
      <c r="K364" t="str">
        <f>Titanic_raw!I364</f>
        <v>CA 31352</v>
      </c>
      <c r="L364" s="26">
        <f>IF(ISBLANK(Titanic_raw!J364),$C$427,Titanic_raw!J364)</f>
        <v>21</v>
      </c>
      <c r="M364">
        <f>Titanic_raw!K364</f>
        <v>0</v>
      </c>
      <c r="N364" t="str">
        <f>IF(Titanic_raw!L364="S","Southampton",IF(Titanic_raw!L364="Q","Queenstown",IF(Titanic_raw!L364="C","Cherbourg")))</f>
        <v>Southampton</v>
      </c>
    </row>
    <row r="365" spans="1:14" x14ac:dyDescent="0.2">
      <c r="A365" s="18">
        <f>Titanic_raw!A365</f>
        <v>1255</v>
      </c>
      <c r="B365" s="21">
        <f>Titanic_raw!B365</f>
        <v>0</v>
      </c>
      <c r="C365" s="21" t="str">
        <f t="shared" si="5"/>
        <v>Dead</v>
      </c>
      <c r="D365" s="21" t="str">
        <f>CONCATENATE(Titanic_raw!C365, " Class")</f>
        <v>3 Class</v>
      </c>
      <c r="E365" s="23" t="str">
        <f>INDEX(tbl_passenger[Full Name],MATCH(A365,tbl_passenger[PassengerId],0))</f>
        <v>Mr. Ivan Strilic</v>
      </c>
      <c r="F365" t="str">
        <f>INDEX(tbl_passenger[Sex],MATCH(A365,tbl_passenger[PassengerId],0))</f>
        <v>Male</v>
      </c>
      <c r="G365" t="str">
        <f>IF(tbl_figures[Age]&lt;20, "Teens (0-19)", IF(tbl_figures[Age] &lt;40, "Youth (20-39)", IF(tbl_figures[Age]&lt;60, "Adult (40-59)", IF(tbl_figures[Age]&gt;=60, "Elders (60-Above)"))))</f>
        <v>Youth (20-39)</v>
      </c>
      <c r="H365" s="25">
        <f>IF(ISBLANK(Titanic_raw!F365),$C$423,Titanic_raw!F365)</f>
        <v>27</v>
      </c>
      <c r="I365">
        <f>Titanic_raw!G365</f>
        <v>0</v>
      </c>
      <c r="J365">
        <f>Titanic_raw!H365</f>
        <v>0</v>
      </c>
      <c r="K365">
        <f>Titanic_raw!I365</f>
        <v>315083</v>
      </c>
      <c r="L365" s="26">
        <f>IF(ISBLANK(Titanic_raw!J365),$C$427,Titanic_raw!J365)</f>
        <v>8.6624999999999996</v>
      </c>
      <c r="M365">
        <f>Titanic_raw!K365</f>
        <v>0</v>
      </c>
      <c r="N365" t="str">
        <f>IF(Titanic_raw!L365="S","Southampton",IF(Titanic_raw!L365="Q","Queenstown",IF(Titanic_raw!L365="C","Cherbourg")))</f>
        <v>Southampton</v>
      </c>
    </row>
    <row r="366" spans="1:14" x14ac:dyDescent="0.2">
      <c r="A366" s="18">
        <f>Titanic_raw!A366</f>
        <v>1256</v>
      </c>
      <c r="B366" s="17">
        <f>Titanic_raw!B366</f>
        <v>1</v>
      </c>
      <c r="C366" s="17" t="str">
        <f t="shared" si="5"/>
        <v>Survived</v>
      </c>
      <c r="D366" s="17" t="str">
        <f>CONCATENATE(Titanic_raw!C366, " Class")</f>
        <v>1 Class</v>
      </c>
      <c r="E366" s="19" t="str">
        <f>INDEX(tbl_passenger[Full Name],MATCH(A366,tbl_passenger[PassengerId],0))</f>
        <v>Mrs. George Achilles (Dorothy Annan) Harder</v>
      </c>
      <c r="F366" t="str">
        <f>INDEX(tbl_passenger[Sex],MATCH(A366,tbl_passenger[PassengerId],0))</f>
        <v>Female</v>
      </c>
      <c r="G366" t="str">
        <f>IF(tbl_figures[Age]&lt;20, "Teens (0-19)", IF(tbl_figures[Age] &lt;40, "Youth (20-39)", IF(tbl_figures[Age]&lt;60, "Adult (40-59)", IF(tbl_figures[Age]&gt;=60, "Elders (60-Above)"))))</f>
        <v>Youth (20-39)</v>
      </c>
      <c r="H366" s="25">
        <f>IF(ISBLANK(Titanic_raw!F366),$C$423,Titanic_raw!F366)</f>
        <v>25</v>
      </c>
      <c r="I366">
        <f>Titanic_raw!G366</f>
        <v>1</v>
      </c>
      <c r="J366">
        <f>Titanic_raw!H366</f>
        <v>0</v>
      </c>
      <c r="K366">
        <f>Titanic_raw!I366</f>
        <v>11765</v>
      </c>
      <c r="L366" s="26">
        <f>IF(ISBLANK(Titanic_raw!J366),$C$427,Titanic_raw!J366)</f>
        <v>55.441699999999997</v>
      </c>
      <c r="M366" t="str">
        <f>Titanic_raw!K366</f>
        <v>E50</v>
      </c>
      <c r="N366" t="str">
        <f>IF(Titanic_raw!L366="S","Southampton",IF(Titanic_raw!L366="Q","Queenstown",IF(Titanic_raw!L366="C","Cherbourg")))</f>
        <v>Cherbourg</v>
      </c>
    </row>
    <row r="367" spans="1:14" x14ac:dyDescent="0.2">
      <c r="A367" s="18">
        <f>Titanic_raw!A367</f>
        <v>1257</v>
      </c>
      <c r="B367" s="21">
        <f>Titanic_raw!B367</f>
        <v>1</v>
      </c>
      <c r="C367" s="21" t="str">
        <f t="shared" si="5"/>
        <v>Survived</v>
      </c>
      <c r="D367" s="21" t="str">
        <f>CONCATENATE(Titanic_raw!C367, " Class")</f>
        <v>3 Class</v>
      </c>
      <c r="E367" s="23" t="str">
        <f>INDEX(tbl_passenger[Full Name],MATCH(A367,tbl_passenger[PassengerId],0))</f>
        <v>Mrs. John (Annie Bullen) Sage</v>
      </c>
      <c r="F367" t="str">
        <f>INDEX(tbl_passenger[Sex],MATCH(A367,tbl_passenger[PassengerId],0))</f>
        <v>Female</v>
      </c>
      <c r="G367" t="str">
        <f>IF(tbl_figures[Age]&lt;20, "Teens (0-19)", IF(tbl_figures[Age] &lt;40, "Youth (20-39)", IF(tbl_figures[Age]&lt;60, "Adult (40-59)", IF(tbl_figures[Age]&gt;=60, "Elders (60-Above)"))))</f>
        <v>Youth (20-39)</v>
      </c>
      <c r="H367" s="25">
        <f>IF(ISBLANK(Titanic_raw!F367),$C$423,Titanic_raw!F367)</f>
        <v>30.272590325616491</v>
      </c>
      <c r="I367">
        <f>Titanic_raw!G367</f>
        <v>1</v>
      </c>
      <c r="J367">
        <f>Titanic_raw!H367</f>
        <v>9</v>
      </c>
      <c r="K367" t="str">
        <f>Titanic_raw!I367</f>
        <v>CA. 2343</v>
      </c>
      <c r="L367" s="26">
        <f>IF(ISBLANK(Titanic_raw!J367),$C$427,Titanic_raw!J367)</f>
        <v>69.55</v>
      </c>
      <c r="M367">
        <f>Titanic_raw!K367</f>
        <v>0</v>
      </c>
      <c r="N367" t="str">
        <f>IF(Titanic_raw!L367="S","Southampton",IF(Titanic_raw!L367="Q","Queenstown",IF(Titanic_raw!L367="C","Cherbourg")))</f>
        <v>Southampton</v>
      </c>
    </row>
    <row r="368" spans="1:14" x14ac:dyDescent="0.2">
      <c r="A368" s="18">
        <f>Titanic_raw!A368</f>
        <v>1258</v>
      </c>
      <c r="B368" s="17">
        <f>Titanic_raw!B368</f>
        <v>0</v>
      </c>
      <c r="C368" s="17" t="str">
        <f t="shared" si="5"/>
        <v>Dead</v>
      </c>
      <c r="D368" s="17" t="str">
        <f>CONCATENATE(Titanic_raw!C368, " Class")</f>
        <v>3 Class</v>
      </c>
      <c r="E368" s="19" t="str">
        <f>INDEX(tbl_passenger[Full Name],MATCH(A368,tbl_passenger[PassengerId],0))</f>
        <v>Mr. Joseph Caram</v>
      </c>
      <c r="F368" t="str">
        <f>INDEX(tbl_passenger[Sex],MATCH(A368,tbl_passenger[PassengerId],0))</f>
        <v>Male</v>
      </c>
      <c r="G368" t="str">
        <f>IF(tbl_figures[Age]&lt;20, "Teens (0-19)", IF(tbl_figures[Age] &lt;40, "Youth (20-39)", IF(tbl_figures[Age]&lt;60, "Adult (40-59)", IF(tbl_figures[Age]&gt;=60, "Elders (60-Above)"))))</f>
        <v>Youth (20-39)</v>
      </c>
      <c r="H368" s="25">
        <f>IF(ISBLANK(Titanic_raw!F368),$C$423,Titanic_raw!F368)</f>
        <v>30.272590325616491</v>
      </c>
      <c r="I368">
        <f>Titanic_raw!G368</f>
        <v>1</v>
      </c>
      <c r="J368">
        <f>Titanic_raw!H368</f>
        <v>0</v>
      </c>
      <c r="K368">
        <f>Titanic_raw!I368</f>
        <v>2689</v>
      </c>
      <c r="L368" s="26">
        <f>IF(ISBLANK(Titanic_raw!J368),$C$427,Titanic_raw!J368)</f>
        <v>14.458299999999999</v>
      </c>
      <c r="M368">
        <f>Titanic_raw!K368</f>
        <v>0</v>
      </c>
      <c r="N368" t="str">
        <f>IF(Titanic_raw!L368="S","Southampton",IF(Titanic_raw!L368="Q","Queenstown",IF(Titanic_raw!L368="C","Cherbourg")))</f>
        <v>Cherbourg</v>
      </c>
    </row>
    <row r="369" spans="1:14" x14ac:dyDescent="0.2">
      <c r="A369" s="18">
        <f>Titanic_raw!A369</f>
        <v>1259</v>
      </c>
      <c r="B369" s="21">
        <f>Titanic_raw!B369</f>
        <v>1</v>
      </c>
      <c r="C369" s="21" t="str">
        <f t="shared" si="5"/>
        <v>Survived</v>
      </c>
      <c r="D369" s="21" t="str">
        <f>CONCATENATE(Titanic_raw!C369, " Class")</f>
        <v>3 Class</v>
      </c>
      <c r="E369" s="23" t="str">
        <f>INDEX(tbl_passenger[Full Name],MATCH(A369,tbl_passenger[PassengerId],0))</f>
        <v>Miss. Susanna Juhantytar Sanni"" Riihivouri</v>
      </c>
      <c r="F369" t="str">
        <f>INDEX(tbl_passenger[Sex],MATCH(A369,tbl_passenger[PassengerId],0))</f>
        <v>Female</v>
      </c>
      <c r="G369" t="str">
        <f>IF(tbl_figures[Age]&lt;20, "Teens (0-19)", IF(tbl_figures[Age] &lt;40, "Youth (20-39)", IF(tbl_figures[Age]&lt;60, "Adult (40-59)", IF(tbl_figures[Age]&gt;=60, "Elders (60-Above)"))))</f>
        <v>Youth (20-39)</v>
      </c>
      <c r="H369" s="25">
        <f>IF(ISBLANK(Titanic_raw!F369),$C$423,Titanic_raw!F369)</f>
        <v>22</v>
      </c>
      <c r="I369">
        <f>Titanic_raw!G369</f>
        <v>0</v>
      </c>
      <c r="J369">
        <f>Titanic_raw!H369</f>
        <v>0</v>
      </c>
      <c r="K369">
        <f>Titanic_raw!I369</f>
        <v>3101295</v>
      </c>
      <c r="L369" s="26">
        <f>IF(ISBLANK(Titanic_raw!J369),$C$427,Titanic_raw!J369)</f>
        <v>39.6875</v>
      </c>
      <c r="M369">
        <f>Titanic_raw!K369</f>
        <v>0</v>
      </c>
      <c r="N369" t="str">
        <f>IF(Titanic_raw!L369="S","Southampton",IF(Titanic_raw!L369="Q","Queenstown",IF(Titanic_raw!L369="C","Cherbourg")))</f>
        <v>Southampton</v>
      </c>
    </row>
    <row r="370" spans="1:14" x14ac:dyDescent="0.2">
      <c r="A370" s="18">
        <f>Titanic_raw!A370</f>
        <v>1260</v>
      </c>
      <c r="B370" s="17">
        <f>Titanic_raw!B370</f>
        <v>1</v>
      </c>
      <c r="C370" s="17" t="str">
        <f t="shared" si="5"/>
        <v>Survived</v>
      </c>
      <c r="D370" s="17" t="str">
        <f>CONCATENATE(Titanic_raw!C370, " Class")</f>
        <v>1 Class</v>
      </c>
      <c r="E370" s="19" t="str">
        <f>INDEX(tbl_passenger[Full Name],MATCH(A370,tbl_passenger[PassengerId],0))</f>
        <v>Mrs. Leonard (Pauline C Boeson) Gibson</v>
      </c>
      <c r="F370" t="str">
        <f>INDEX(tbl_passenger[Sex],MATCH(A370,tbl_passenger[PassengerId],0))</f>
        <v>Female</v>
      </c>
      <c r="G370" t="str">
        <f>IF(tbl_figures[Age]&lt;20, "Teens (0-19)", IF(tbl_figures[Age] &lt;40, "Youth (20-39)", IF(tbl_figures[Age]&lt;60, "Adult (40-59)", IF(tbl_figures[Age]&gt;=60, "Elders (60-Above)"))))</f>
        <v>Adult (40-59)</v>
      </c>
      <c r="H370" s="25">
        <f>IF(ISBLANK(Titanic_raw!F370),$C$423,Titanic_raw!F370)</f>
        <v>45</v>
      </c>
      <c r="I370">
        <f>Titanic_raw!G370</f>
        <v>0</v>
      </c>
      <c r="J370">
        <f>Titanic_raw!H370</f>
        <v>1</v>
      </c>
      <c r="K370">
        <f>Titanic_raw!I370</f>
        <v>112378</v>
      </c>
      <c r="L370" s="26">
        <f>IF(ISBLANK(Titanic_raw!J370),$C$427,Titanic_raw!J370)</f>
        <v>59.4</v>
      </c>
      <c r="M370">
        <f>Titanic_raw!K370</f>
        <v>0</v>
      </c>
      <c r="N370" t="str">
        <f>IF(Titanic_raw!L370="S","Southampton",IF(Titanic_raw!L370="Q","Queenstown",IF(Titanic_raw!L370="C","Cherbourg")))</f>
        <v>Cherbourg</v>
      </c>
    </row>
    <row r="371" spans="1:14" x14ac:dyDescent="0.2">
      <c r="A371" s="18">
        <f>Titanic_raw!A371</f>
        <v>1261</v>
      </c>
      <c r="B371" s="21">
        <f>Titanic_raw!B371</f>
        <v>0</v>
      </c>
      <c r="C371" s="21" t="str">
        <f t="shared" si="5"/>
        <v>Dead</v>
      </c>
      <c r="D371" s="21" t="str">
        <f>CONCATENATE(Titanic_raw!C371, " Class")</f>
        <v>2 Class</v>
      </c>
      <c r="E371" s="23" t="str">
        <f>INDEX(tbl_passenger[Full Name],MATCH(A371,tbl_passenger[PassengerId],0))</f>
        <v>Mr. Emilio Pallas y Castello</v>
      </c>
      <c r="F371" t="str">
        <f>INDEX(tbl_passenger[Sex],MATCH(A371,tbl_passenger[PassengerId],0))</f>
        <v>Male</v>
      </c>
      <c r="G371" t="str">
        <f>IF(tbl_figures[Age]&lt;20, "Teens (0-19)", IF(tbl_figures[Age] &lt;40, "Youth (20-39)", IF(tbl_figures[Age]&lt;60, "Adult (40-59)", IF(tbl_figures[Age]&gt;=60, "Elders (60-Above)"))))</f>
        <v>Youth (20-39)</v>
      </c>
      <c r="H371" s="25">
        <f>IF(ISBLANK(Titanic_raw!F371),$C$423,Titanic_raw!F371)</f>
        <v>29</v>
      </c>
      <c r="I371">
        <f>Titanic_raw!G371</f>
        <v>0</v>
      </c>
      <c r="J371">
        <f>Titanic_raw!H371</f>
        <v>0</v>
      </c>
      <c r="K371" t="str">
        <f>Titanic_raw!I371</f>
        <v>SC/PARIS 2147</v>
      </c>
      <c r="L371" s="26">
        <f>IF(ISBLANK(Titanic_raw!J371),$C$427,Titanic_raw!J371)</f>
        <v>13.8583</v>
      </c>
      <c r="M371">
        <f>Titanic_raw!K371</f>
        <v>0</v>
      </c>
      <c r="N371" t="str">
        <f>IF(Titanic_raw!L371="S","Southampton",IF(Titanic_raw!L371="Q","Queenstown",IF(Titanic_raw!L371="C","Cherbourg")))</f>
        <v>Cherbourg</v>
      </c>
    </row>
    <row r="372" spans="1:14" x14ac:dyDescent="0.2">
      <c r="A372" s="18">
        <f>Titanic_raw!A372</f>
        <v>1262</v>
      </c>
      <c r="B372" s="17">
        <f>Titanic_raw!B372</f>
        <v>0</v>
      </c>
      <c r="C372" s="17" t="str">
        <f t="shared" si="5"/>
        <v>Dead</v>
      </c>
      <c r="D372" s="17" t="str">
        <f>CONCATENATE(Titanic_raw!C372, " Class")</f>
        <v>2 Class</v>
      </c>
      <c r="E372" s="19" t="str">
        <f>INDEX(tbl_passenger[Full Name],MATCH(A372,tbl_passenger[PassengerId],0))</f>
        <v>Mr. Edgar Giles</v>
      </c>
      <c r="F372" t="str">
        <f>INDEX(tbl_passenger[Sex],MATCH(A372,tbl_passenger[PassengerId],0))</f>
        <v>Male</v>
      </c>
      <c r="G372" t="str">
        <f>IF(tbl_figures[Age]&lt;20, "Teens (0-19)", IF(tbl_figures[Age] &lt;40, "Youth (20-39)", IF(tbl_figures[Age]&lt;60, "Adult (40-59)", IF(tbl_figures[Age]&gt;=60, "Elders (60-Above)"))))</f>
        <v>Youth (20-39)</v>
      </c>
      <c r="H372" s="25">
        <f>IF(ISBLANK(Titanic_raw!F372),$C$423,Titanic_raw!F372)</f>
        <v>21</v>
      </c>
      <c r="I372">
        <f>Titanic_raw!G372</f>
        <v>1</v>
      </c>
      <c r="J372">
        <f>Titanic_raw!H372</f>
        <v>0</v>
      </c>
      <c r="K372">
        <f>Titanic_raw!I372</f>
        <v>28133</v>
      </c>
      <c r="L372" s="26">
        <f>IF(ISBLANK(Titanic_raw!J372),$C$427,Titanic_raw!J372)</f>
        <v>11.5</v>
      </c>
      <c r="M372">
        <f>Titanic_raw!K372</f>
        <v>0</v>
      </c>
      <c r="N372" t="str">
        <f>IF(Titanic_raw!L372="S","Southampton",IF(Titanic_raw!L372="Q","Queenstown",IF(Titanic_raw!L372="C","Cherbourg")))</f>
        <v>Southampton</v>
      </c>
    </row>
    <row r="373" spans="1:14" x14ac:dyDescent="0.2">
      <c r="A373" s="18">
        <f>Titanic_raw!A373</f>
        <v>1263</v>
      </c>
      <c r="B373" s="21">
        <f>Titanic_raw!B373</f>
        <v>1</v>
      </c>
      <c r="C373" s="21" t="str">
        <f t="shared" si="5"/>
        <v>Survived</v>
      </c>
      <c r="D373" s="21" t="str">
        <f>CONCATENATE(Titanic_raw!C373, " Class")</f>
        <v>1 Class</v>
      </c>
      <c r="E373" s="23" t="str">
        <f>INDEX(tbl_passenger[Full Name],MATCH(A373,tbl_passenger[PassengerId],0))</f>
        <v>Miss. Helen Alice Wilson</v>
      </c>
      <c r="F373" t="str">
        <f>INDEX(tbl_passenger[Sex],MATCH(A373,tbl_passenger[PassengerId],0))</f>
        <v>Female</v>
      </c>
      <c r="G373" t="str">
        <f>IF(tbl_figures[Age]&lt;20, "Teens (0-19)", IF(tbl_figures[Age] &lt;40, "Youth (20-39)", IF(tbl_figures[Age]&lt;60, "Adult (40-59)", IF(tbl_figures[Age]&gt;=60, "Elders (60-Above)"))))</f>
        <v>Youth (20-39)</v>
      </c>
      <c r="H373" s="25">
        <f>IF(ISBLANK(Titanic_raw!F373),$C$423,Titanic_raw!F373)</f>
        <v>31</v>
      </c>
      <c r="I373">
        <f>Titanic_raw!G373</f>
        <v>0</v>
      </c>
      <c r="J373">
        <f>Titanic_raw!H373</f>
        <v>0</v>
      </c>
      <c r="K373">
        <f>Titanic_raw!I373</f>
        <v>16966</v>
      </c>
      <c r="L373" s="26">
        <f>IF(ISBLANK(Titanic_raw!J373),$C$427,Titanic_raw!J373)</f>
        <v>134.5</v>
      </c>
      <c r="M373" t="str">
        <f>Titanic_raw!K373</f>
        <v>E39 E41</v>
      </c>
      <c r="N373" t="str">
        <f>IF(Titanic_raw!L373="S","Southampton",IF(Titanic_raw!L373="Q","Queenstown",IF(Titanic_raw!L373="C","Cherbourg")))</f>
        <v>Cherbourg</v>
      </c>
    </row>
    <row r="374" spans="1:14" x14ac:dyDescent="0.2">
      <c r="A374" s="18">
        <f>Titanic_raw!A374</f>
        <v>1264</v>
      </c>
      <c r="B374" s="17">
        <f>Titanic_raw!B374</f>
        <v>0</v>
      </c>
      <c r="C374" s="17" t="str">
        <f t="shared" si="5"/>
        <v>Dead</v>
      </c>
      <c r="D374" s="17" t="str">
        <f>CONCATENATE(Titanic_raw!C374, " Class")</f>
        <v>1 Class</v>
      </c>
      <c r="E374" s="19" t="str">
        <f>INDEX(tbl_passenger[Full Name],MATCH(A374,tbl_passenger[PassengerId],0))</f>
        <v>Mr. Joseph Bruce Ismay</v>
      </c>
      <c r="F374" t="str">
        <f>INDEX(tbl_passenger[Sex],MATCH(A374,tbl_passenger[PassengerId],0))</f>
        <v>Male</v>
      </c>
      <c r="G374" t="str">
        <f>IF(tbl_figures[Age]&lt;20, "Teens (0-19)", IF(tbl_figures[Age] &lt;40, "Youth (20-39)", IF(tbl_figures[Age]&lt;60, "Adult (40-59)", IF(tbl_figures[Age]&gt;=60, "Elders (60-Above)"))))</f>
        <v>Adult (40-59)</v>
      </c>
      <c r="H374" s="25">
        <f>IF(ISBLANK(Titanic_raw!F374),$C$423,Titanic_raw!F374)</f>
        <v>49</v>
      </c>
      <c r="I374">
        <f>Titanic_raw!G374</f>
        <v>0</v>
      </c>
      <c r="J374">
        <f>Titanic_raw!H374</f>
        <v>0</v>
      </c>
      <c r="K374">
        <f>Titanic_raw!I374</f>
        <v>112058</v>
      </c>
      <c r="L374" s="26">
        <f>IF(ISBLANK(Titanic_raw!J374),$C$427,Titanic_raw!J374)</f>
        <v>0</v>
      </c>
      <c r="M374" t="str">
        <f>Titanic_raw!K374</f>
        <v>B52 B54 B56</v>
      </c>
      <c r="N374" t="str">
        <f>IF(Titanic_raw!L374="S","Southampton",IF(Titanic_raw!L374="Q","Queenstown",IF(Titanic_raw!L374="C","Cherbourg")))</f>
        <v>Southampton</v>
      </c>
    </row>
    <row r="375" spans="1:14" x14ac:dyDescent="0.2">
      <c r="A375" s="18">
        <f>Titanic_raw!A375</f>
        <v>1265</v>
      </c>
      <c r="B375" s="21">
        <f>Titanic_raw!B375</f>
        <v>0</v>
      </c>
      <c r="C375" s="21" t="str">
        <f t="shared" si="5"/>
        <v>Dead</v>
      </c>
      <c r="D375" s="21" t="str">
        <f>CONCATENATE(Titanic_raw!C375, " Class")</f>
        <v>2 Class</v>
      </c>
      <c r="E375" s="23" t="str">
        <f>INDEX(tbl_passenger[Full Name],MATCH(A375,tbl_passenger[PassengerId],0))</f>
        <v>Mr. William H Harbeck</v>
      </c>
      <c r="F375" t="str">
        <f>INDEX(tbl_passenger[Sex],MATCH(A375,tbl_passenger[PassengerId],0))</f>
        <v>Male</v>
      </c>
      <c r="G375" t="str">
        <f>IF(tbl_figures[Age]&lt;20, "Teens (0-19)", IF(tbl_figures[Age] &lt;40, "Youth (20-39)", IF(tbl_figures[Age]&lt;60, "Adult (40-59)", IF(tbl_figures[Age]&gt;=60, "Elders (60-Above)"))))</f>
        <v>Adult (40-59)</v>
      </c>
      <c r="H375" s="25">
        <f>IF(ISBLANK(Titanic_raw!F375),$C$423,Titanic_raw!F375)</f>
        <v>44</v>
      </c>
      <c r="I375">
        <f>Titanic_raw!G375</f>
        <v>0</v>
      </c>
      <c r="J375">
        <f>Titanic_raw!H375</f>
        <v>0</v>
      </c>
      <c r="K375">
        <f>Titanic_raw!I375</f>
        <v>248746</v>
      </c>
      <c r="L375" s="26">
        <f>IF(ISBLANK(Titanic_raw!J375),$C$427,Titanic_raw!J375)</f>
        <v>13</v>
      </c>
      <c r="M375">
        <f>Titanic_raw!K375</f>
        <v>0</v>
      </c>
      <c r="N375" t="str">
        <f>IF(Titanic_raw!L375="S","Southampton",IF(Titanic_raw!L375="Q","Queenstown",IF(Titanic_raw!L375="C","Cherbourg")))</f>
        <v>Southampton</v>
      </c>
    </row>
    <row r="376" spans="1:14" x14ac:dyDescent="0.2">
      <c r="A376" s="18">
        <f>Titanic_raw!A376</f>
        <v>1266</v>
      </c>
      <c r="B376" s="17">
        <f>Titanic_raw!B376</f>
        <v>1</v>
      </c>
      <c r="C376" s="17" t="str">
        <f t="shared" si="5"/>
        <v>Survived</v>
      </c>
      <c r="D376" s="17" t="str">
        <f>CONCATENATE(Titanic_raw!C376, " Class")</f>
        <v>1 Class</v>
      </c>
      <c r="E376" s="19" t="str">
        <f>INDEX(tbl_passenger[Full Name],MATCH(A376,tbl_passenger[PassengerId],0))</f>
        <v>Mrs. Washington (Ruth Vidaver) Dodge</v>
      </c>
      <c r="F376" t="str">
        <f>INDEX(tbl_passenger[Sex],MATCH(A376,tbl_passenger[PassengerId],0))</f>
        <v>Female</v>
      </c>
      <c r="G376" t="str">
        <f>IF(tbl_figures[Age]&lt;20, "Teens (0-19)", IF(tbl_figures[Age] &lt;40, "Youth (20-39)", IF(tbl_figures[Age]&lt;60, "Adult (40-59)", IF(tbl_figures[Age]&gt;=60, "Elders (60-Above)"))))</f>
        <v>Adult (40-59)</v>
      </c>
      <c r="H376" s="25">
        <f>IF(ISBLANK(Titanic_raw!F376),$C$423,Titanic_raw!F376)</f>
        <v>54</v>
      </c>
      <c r="I376">
        <f>Titanic_raw!G376</f>
        <v>1</v>
      </c>
      <c r="J376">
        <f>Titanic_raw!H376</f>
        <v>1</v>
      </c>
      <c r="K376">
        <f>Titanic_raw!I376</f>
        <v>33638</v>
      </c>
      <c r="L376" s="26">
        <f>IF(ISBLANK(Titanic_raw!J376),$C$427,Titanic_raw!J376)</f>
        <v>81.8583</v>
      </c>
      <c r="M376" t="str">
        <f>Titanic_raw!K376</f>
        <v>A34</v>
      </c>
      <c r="N376" t="str">
        <f>IF(Titanic_raw!L376="S","Southampton",IF(Titanic_raw!L376="Q","Queenstown",IF(Titanic_raw!L376="C","Cherbourg")))</f>
        <v>Southampton</v>
      </c>
    </row>
    <row r="377" spans="1:14" x14ac:dyDescent="0.2">
      <c r="A377" s="18">
        <f>Titanic_raw!A377</f>
        <v>1267</v>
      </c>
      <c r="B377" s="21">
        <f>Titanic_raw!B377</f>
        <v>1</v>
      </c>
      <c r="C377" s="21" t="str">
        <f t="shared" si="5"/>
        <v>Survived</v>
      </c>
      <c r="D377" s="21" t="str">
        <f>CONCATENATE(Titanic_raw!C377, " Class")</f>
        <v>1 Class</v>
      </c>
      <c r="E377" s="23" t="str">
        <f>INDEX(tbl_passenger[Full Name],MATCH(A377,tbl_passenger[PassengerId],0))</f>
        <v>Miss. Grace Scott Bowen</v>
      </c>
      <c r="F377" t="str">
        <f>INDEX(tbl_passenger[Sex],MATCH(A377,tbl_passenger[PassengerId],0))</f>
        <v>Female</v>
      </c>
      <c r="G377" t="str">
        <f>IF(tbl_figures[Age]&lt;20, "Teens (0-19)", IF(tbl_figures[Age] &lt;40, "Youth (20-39)", IF(tbl_figures[Age]&lt;60, "Adult (40-59)", IF(tbl_figures[Age]&gt;=60, "Elders (60-Above)"))))</f>
        <v>Adult (40-59)</v>
      </c>
      <c r="H377" s="25">
        <f>IF(ISBLANK(Titanic_raw!F377),$C$423,Titanic_raw!F377)</f>
        <v>45</v>
      </c>
      <c r="I377">
        <f>Titanic_raw!G377</f>
        <v>0</v>
      </c>
      <c r="J377">
        <f>Titanic_raw!H377</f>
        <v>0</v>
      </c>
      <c r="K377" t="str">
        <f>Titanic_raw!I377</f>
        <v>PC 17608</v>
      </c>
      <c r="L377" s="26">
        <f>IF(ISBLANK(Titanic_raw!J377),$C$427,Titanic_raw!J377)</f>
        <v>262.375</v>
      </c>
      <c r="M377">
        <f>Titanic_raw!K377</f>
        <v>0</v>
      </c>
      <c r="N377" t="str">
        <f>IF(Titanic_raw!L377="S","Southampton",IF(Titanic_raw!L377="Q","Queenstown",IF(Titanic_raw!L377="C","Cherbourg")))</f>
        <v>Cherbourg</v>
      </c>
    </row>
    <row r="378" spans="1:14" x14ac:dyDescent="0.2">
      <c r="A378" s="18">
        <f>Titanic_raw!A378</f>
        <v>1268</v>
      </c>
      <c r="B378" s="17">
        <f>Titanic_raw!B378</f>
        <v>1</v>
      </c>
      <c r="C378" s="17" t="str">
        <f t="shared" si="5"/>
        <v>Survived</v>
      </c>
      <c r="D378" s="17" t="str">
        <f>CONCATENATE(Titanic_raw!C378, " Class")</f>
        <v>3 Class</v>
      </c>
      <c r="E378" s="19" t="str">
        <f>INDEX(tbl_passenger[Full Name],MATCH(A378,tbl_passenger[PassengerId],0))</f>
        <v>Miss. Maria Kink</v>
      </c>
      <c r="F378" t="str">
        <f>INDEX(tbl_passenger[Sex],MATCH(A378,tbl_passenger[PassengerId],0))</f>
        <v>Female</v>
      </c>
      <c r="G378" t="str">
        <f>IF(tbl_figures[Age]&lt;20, "Teens (0-19)", IF(tbl_figures[Age] &lt;40, "Youth (20-39)", IF(tbl_figures[Age]&lt;60, "Adult (40-59)", IF(tbl_figures[Age]&gt;=60, "Elders (60-Above)"))))</f>
        <v>Youth (20-39)</v>
      </c>
      <c r="H378" s="25">
        <f>IF(ISBLANK(Titanic_raw!F378),$C$423,Titanic_raw!F378)</f>
        <v>22</v>
      </c>
      <c r="I378">
        <f>Titanic_raw!G378</f>
        <v>2</v>
      </c>
      <c r="J378">
        <f>Titanic_raw!H378</f>
        <v>0</v>
      </c>
      <c r="K378">
        <f>Titanic_raw!I378</f>
        <v>315152</v>
      </c>
      <c r="L378" s="26">
        <f>IF(ISBLANK(Titanic_raw!J378),$C$427,Titanic_raw!J378)</f>
        <v>8.6624999999999996</v>
      </c>
      <c r="M378">
        <f>Titanic_raw!K378</f>
        <v>0</v>
      </c>
      <c r="N378" t="str">
        <f>IF(Titanic_raw!L378="S","Southampton",IF(Titanic_raw!L378="Q","Queenstown",IF(Titanic_raw!L378="C","Cherbourg")))</f>
        <v>Southampton</v>
      </c>
    </row>
    <row r="379" spans="1:14" x14ac:dyDescent="0.2">
      <c r="A379" s="18">
        <f>Titanic_raw!A379</f>
        <v>1269</v>
      </c>
      <c r="B379" s="21">
        <f>Titanic_raw!B379</f>
        <v>0</v>
      </c>
      <c r="C379" s="21" t="str">
        <f t="shared" si="5"/>
        <v>Dead</v>
      </c>
      <c r="D379" s="21" t="str">
        <f>CONCATENATE(Titanic_raw!C379, " Class")</f>
        <v>2 Class</v>
      </c>
      <c r="E379" s="23" t="str">
        <f>INDEX(tbl_passenger[Full Name],MATCH(A379,tbl_passenger[PassengerId],0))</f>
        <v>Mr. Henry Harry"" Cotterill</v>
      </c>
      <c r="F379" t="str">
        <f>INDEX(tbl_passenger[Sex],MATCH(A379,tbl_passenger[PassengerId],0))</f>
        <v>Male</v>
      </c>
      <c r="G379" t="str">
        <f>IF(tbl_figures[Age]&lt;20, "Teens (0-19)", IF(tbl_figures[Age] &lt;40, "Youth (20-39)", IF(tbl_figures[Age]&lt;60, "Adult (40-59)", IF(tbl_figures[Age]&gt;=60, "Elders (60-Above)"))))</f>
        <v>Youth (20-39)</v>
      </c>
      <c r="H379" s="25">
        <f>IF(ISBLANK(Titanic_raw!F379),$C$423,Titanic_raw!F379)</f>
        <v>21</v>
      </c>
      <c r="I379">
        <f>Titanic_raw!G379</f>
        <v>0</v>
      </c>
      <c r="J379">
        <f>Titanic_raw!H379</f>
        <v>0</v>
      </c>
      <c r="K379">
        <f>Titanic_raw!I379</f>
        <v>29107</v>
      </c>
      <c r="L379" s="26">
        <f>IF(ISBLANK(Titanic_raw!J379),$C$427,Titanic_raw!J379)</f>
        <v>11.5</v>
      </c>
      <c r="M379">
        <f>Titanic_raw!K379</f>
        <v>0</v>
      </c>
      <c r="N379" t="str">
        <f>IF(Titanic_raw!L379="S","Southampton",IF(Titanic_raw!L379="Q","Queenstown",IF(Titanic_raw!L379="C","Cherbourg")))</f>
        <v>Southampton</v>
      </c>
    </row>
    <row r="380" spans="1:14" x14ac:dyDescent="0.2">
      <c r="A380" s="18">
        <f>Titanic_raw!A380</f>
        <v>1270</v>
      </c>
      <c r="B380" s="17">
        <f>Titanic_raw!B380</f>
        <v>0</v>
      </c>
      <c r="C380" s="17" t="str">
        <f t="shared" si="5"/>
        <v>Dead</v>
      </c>
      <c r="D380" s="17" t="str">
        <f>CONCATENATE(Titanic_raw!C380, " Class")</f>
        <v>1 Class</v>
      </c>
      <c r="E380" s="19" t="str">
        <f>INDEX(tbl_passenger[Full Name],MATCH(A380,tbl_passenger[PassengerId],0))</f>
        <v>Mr. William Edward Hipkins</v>
      </c>
      <c r="F380" t="str">
        <f>INDEX(tbl_passenger[Sex],MATCH(A380,tbl_passenger[PassengerId],0))</f>
        <v>Male</v>
      </c>
      <c r="G380" t="str">
        <f>IF(tbl_figures[Age]&lt;20, "Teens (0-19)", IF(tbl_figures[Age] &lt;40, "Youth (20-39)", IF(tbl_figures[Age]&lt;60, "Adult (40-59)", IF(tbl_figures[Age]&gt;=60, "Elders (60-Above)"))))</f>
        <v>Adult (40-59)</v>
      </c>
      <c r="H380" s="25">
        <f>IF(ISBLANK(Titanic_raw!F380),$C$423,Titanic_raw!F380)</f>
        <v>55</v>
      </c>
      <c r="I380">
        <f>Titanic_raw!G380</f>
        <v>0</v>
      </c>
      <c r="J380">
        <f>Titanic_raw!H380</f>
        <v>0</v>
      </c>
      <c r="K380">
        <f>Titanic_raw!I380</f>
        <v>680</v>
      </c>
      <c r="L380" s="26">
        <f>IF(ISBLANK(Titanic_raw!J380),$C$427,Titanic_raw!J380)</f>
        <v>50</v>
      </c>
      <c r="M380" t="str">
        <f>Titanic_raw!K380</f>
        <v>C39</v>
      </c>
      <c r="N380" t="str">
        <f>IF(Titanic_raw!L380="S","Southampton",IF(Titanic_raw!L380="Q","Queenstown",IF(Titanic_raw!L380="C","Cherbourg")))</f>
        <v>Southampton</v>
      </c>
    </row>
    <row r="381" spans="1:14" x14ac:dyDescent="0.2">
      <c r="A381" s="18">
        <f>Titanic_raw!A381</f>
        <v>1271</v>
      </c>
      <c r="B381" s="21">
        <f>Titanic_raw!B381</f>
        <v>0</v>
      </c>
      <c r="C381" s="21" t="str">
        <f t="shared" si="5"/>
        <v>Dead</v>
      </c>
      <c r="D381" s="21" t="str">
        <f>CONCATENATE(Titanic_raw!C381, " Class")</f>
        <v>3 Class</v>
      </c>
      <c r="E381" s="23" t="str">
        <f>INDEX(tbl_passenger[Full Name],MATCH(A381,tbl_passenger[PassengerId],0))</f>
        <v>Master. Carl Edgar Asplund</v>
      </c>
      <c r="F381" t="str">
        <f>INDEX(tbl_passenger[Sex],MATCH(A381,tbl_passenger[PassengerId],0))</f>
        <v>Male</v>
      </c>
      <c r="G381" t="str">
        <f>IF(tbl_figures[Age]&lt;20, "Teens (0-19)", IF(tbl_figures[Age] &lt;40, "Youth (20-39)", IF(tbl_figures[Age]&lt;60, "Adult (40-59)", IF(tbl_figures[Age]&gt;=60, "Elders (60-Above)"))))</f>
        <v>Teens (0-19)</v>
      </c>
      <c r="H381" s="25">
        <f>IF(ISBLANK(Titanic_raw!F381),$C$423,Titanic_raw!F381)</f>
        <v>5</v>
      </c>
      <c r="I381">
        <f>Titanic_raw!G381</f>
        <v>4</v>
      </c>
      <c r="J381">
        <f>Titanic_raw!H381</f>
        <v>2</v>
      </c>
      <c r="K381">
        <f>Titanic_raw!I381</f>
        <v>347077</v>
      </c>
      <c r="L381" s="26">
        <f>IF(ISBLANK(Titanic_raw!J381),$C$427,Titanic_raw!J381)</f>
        <v>31.387499999999999</v>
      </c>
      <c r="M381">
        <f>Titanic_raw!K381</f>
        <v>0</v>
      </c>
      <c r="N381" t="str">
        <f>IF(Titanic_raw!L381="S","Southampton",IF(Titanic_raw!L381="Q","Queenstown",IF(Titanic_raw!L381="C","Cherbourg")))</f>
        <v>Southampton</v>
      </c>
    </row>
    <row r="382" spans="1:14" x14ac:dyDescent="0.2">
      <c r="A382" s="18">
        <f>Titanic_raw!A382</f>
        <v>1272</v>
      </c>
      <c r="B382" s="17">
        <f>Titanic_raw!B382</f>
        <v>0</v>
      </c>
      <c r="C382" s="17" t="str">
        <f t="shared" si="5"/>
        <v>Dead</v>
      </c>
      <c r="D382" s="17" t="str">
        <f>CONCATENATE(Titanic_raw!C382, " Class")</f>
        <v>3 Class</v>
      </c>
      <c r="E382" s="19" t="str">
        <f>INDEX(tbl_passenger[Full Name],MATCH(A382,tbl_passenger[PassengerId],0))</f>
        <v>Mr. Patrick O'Connor</v>
      </c>
      <c r="F382" t="str">
        <f>INDEX(tbl_passenger[Sex],MATCH(A382,tbl_passenger[PassengerId],0))</f>
        <v>Male</v>
      </c>
      <c r="G382" t="str">
        <f>IF(tbl_figures[Age]&lt;20, "Teens (0-19)", IF(tbl_figures[Age] &lt;40, "Youth (20-39)", IF(tbl_figures[Age]&lt;60, "Adult (40-59)", IF(tbl_figures[Age]&gt;=60, "Elders (60-Above)"))))</f>
        <v>Youth (20-39)</v>
      </c>
      <c r="H382" s="25">
        <f>IF(ISBLANK(Titanic_raw!F382),$C$423,Titanic_raw!F382)</f>
        <v>30.272590325616491</v>
      </c>
      <c r="I382">
        <f>Titanic_raw!G382</f>
        <v>0</v>
      </c>
      <c r="J382">
        <f>Titanic_raw!H382</f>
        <v>0</v>
      </c>
      <c r="K382">
        <f>Titanic_raw!I382</f>
        <v>366713</v>
      </c>
      <c r="L382" s="26">
        <f>IF(ISBLANK(Titanic_raw!J382),$C$427,Titanic_raw!J382)</f>
        <v>7.75</v>
      </c>
      <c r="M382">
        <f>Titanic_raw!K382</f>
        <v>0</v>
      </c>
      <c r="N382" t="str">
        <f>IF(Titanic_raw!L382="S","Southampton",IF(Titanic_raw!L382="Q","Queenstown",IF(Titanic_raw!L382="C","Cherbourg")))</f>
        <v>Queenstown</v>
      </c>
    </row>
    <row r="383" spans="1:14" x14ac:dyDescent="0.2">
      <c r="A383" s="18">
        <f>Titanic_raw!A383</f>
        <v>1273</v>
      </c>
      <c r="B383" s="21">
        <f>Titanic_raw!B383</f>
        <v>0</v>
      </c>
      <c r="C383" s="21" t="str">
        <f t="shared" si="5"/>
        <v>Dead</v>
      </c>
      <c r="D383" s="21" t="str">
        <f>CONCATENATE(Titanic_raw!C383, " Class")</f>
        <v>3 Class</v>
      </c>
      <c r="E383" s="23" t="str">
        <f>INDEX(tbl_passenger[Full Name],MATCH(A383,tbl_passenger[PassengerId],0))</f>
        <v>Mr. Joseph Foley</v>
      </c>
      <c r="F383" t="str">
        <f>INDEX(tbl_passenger[Sex],MATCH(A383,tbl_passenger[PassengerId],0))</f>
        <v>Male</v>
      </c>
      <c r="G383" t="str">
        <f>IF(tbl_figures[Age]&lt;20, "Teens (0-19)", IF(tbl_figures[Age] &lt;40, "Youth (20-39)", IF(tbl_figures[Age]&lt;60, "Adult (40-59)", IF(tbl_figures[Age]&gt;=60, "Elders (60-Above)"))))</f>
        <v>Youth (20-39)</v>
      </c>
      <c r="H383" s="25">
        <f>IF(ISBLANK(Titanic_raw!F383),$C$423,Titanic_raw!F383)</f>
        <v>26</v>
      </c>
      <c r="I383">
        <f>Titanic_raw!G383</f>
        <v>0</v>
      </c>
      <c r="J383">
        <f>Titanic_raw!H383</f>
        <v>0</v>
      </c>
      <c r="K383">
        <f>Titanic_raw!I383</f>
        <v>330910</v>
      </c>
      <c r="L383" s="26">
        <f>IF(ISBLANK(Titanic_raw!J383),$C$427,Titanic_raw!J383)</f>
        <v>7.8792</v>
      </c>
      <c r="M383">
        <f>Titanic_raw!K383</f>
        <v>0</v>
      </c>
      <c r="N383" t="str">
        <f>IF(Titanic_raw!L383="S","Southampton",IF(Titanic_raw!L383="Q","Queenstown",IF(Titanic_raw!L383="C","Cherbourg")))</f>
        <v>Queenstown</v>
      </c>
    </row>
    <row r="384" spans="1:14" x14ac:dyDescent="0.2">
      <c r="A384" s="18">
        <f>Titanic_raw!A384</f>
        <v>1274</v>
      </c>
      <c r="B384" s="17">
        <f>Titanic_raw!B384</f>
        <v>1</v>
      </c>
      <c r="C384" s="17" t="str">
        <f t="shared" si="5"/>
        <v>Survived</v>
      </c>
      <c r="D384" s="17" t="str">
        <f>CONCATENATE(Titanic_raw!C384, " Class")</f>
        <v>3 Class</v>
      </c>
      <c r="E384" s="19" t="str">
        <f>INDEX(tbl_passenger[Full Name],MATCH(A384,tbl_passenger[PassengerId],0))</f>
        <v>Mrs. Samuel (Emma) Risien</v>
      </c>
      <c r="F384" t="str">
        <f>INDEX(tbl_passenger[Sex],MATCH(A384,tbl_passenger[PassengerId],0))</f>
        <v>Female</v>
      </c>
      <c r="G384" t="str">
        <f>IF(tbl_figures[Age]&lt;20, "Teens (0-19)", IF(tbl_figures[Age] &lt;40, "Youth (20-39)", IF(tbl_figures[Age]&lt;60, "Adult (40-59)", IF(tbl_figures[Age]&gt;=60, "Elders (60-Above)"))))</f>
        <v>Youth (20-39)</v>
      </c>
      <c r="H384" s="25">
        <f>IF(ISBLANK(Titanic_raw!F384),$C$423,Titanic_raw!F384)</f>
        <v>30.272590325616491</v>
      </c>
      <c r="I384">
        <f>Titanic_raw!G384</f>
        <v>0</v>
      </c>
      <c r="J384">
        <f>Titanic_raw!H384</f>
        <v>0</v>
      </c>
      <c r="K384">
        <f>Titanic_raw!I384</f>
        <v>364498</v>
      </c>
      <c r="L384" s="26">
        <f>IF(ISBLANK(Titanic_raw!J384),$C$427,Titanic_raw!J384)</f>
        <v>14.5</v>
      </c>
      <c r="M384">
        <f>Titanic_raw!K384</f>
        <v>0</v>
      </c>
      <c r="N384" t="str">
        <f>IF(Titanic_raw!L384="S","Southampton",IF(Titanic_raw!L384="Q","Queenstown",IF(Titanic_raw!L384="C","Cherbourg")))</f>
        <v>Southampton</v>
      </c>
    </row>
    <row r="385" spans="1:14" x14ac:dyDescent="0.2">
      <c r="A385" s="18">
        <f>Titanic_raw!A385</f>
        <v>1275</v>
      </c>
      <c r="B385" s="21">
        <f>Titanic_raw!B385</f>
        <v>1</v>
      </c>
      <c r="C385" s="21" t="str">
        <f t="shared" si="5"/>
        <v>Survived</v>
      </c>
      <c r="D385" s="21" t="str">
        <f>CONCATENATE(Titanic_raw!C385, " Class")</f>
        <v>3 Class</v>
      </c>
      <c r="E385" s="23" t="str">
        <f>INDEX(tbl_passenger[Full Name],MATCH(A385,tbl_passenger[PassengerId],0))</f>
        <v>Mrs. Neal (Eileen O'Leary) McNamee</v>
      </c>
      <c r="F385" t="str">
        <f>INDEX(tbl_passenger[Sex],MATCH(A385,tbl_passenger[PassengerId],0))</f>
        <v>Female</v>
      </c>
      <c r="G385" t="str">
        <f>IF(tbl_figures[Age]&lt;20, "Teens (0-19)", IF(tbl_figures[Age] &lt;40, "Youth (20-39)", IF(tbl_figures[Age]&lt;60, "Adult (40-59)", IF(tbl_figures[Age]&gt;=60, "Elders (60-Above)"))))</f>
        <v>Teens (0-19)</v>
      </c>
      <c r="H385" s="25">
        <f>IF(ISBLANK(Titanic_raw!F385),$C$423,Titanic_raw!F385)</f>
        <v>19</v>
      </c>
      <c r="I385">
        <f>Titanic_raw!G385</f>
        <v>1</v>
      </c>
      <c r="J385">
        <f>Titanic_raw!H385</f>
        <v>0</v>
      </c>
      <c r="K385">
        <f>Titanic_raw!I385</f>
        <v>376566</v>
      </c>
      <c r="L385" s="26">
        <f>IF(ISBLANK(Titanic_raw!J385),$C$427,Titanic_raw!J385)</f>
        <v>16.100000000000001</v>
      </c>
      <c r="M385">
        <f>Titanic_raw!K385</f>
        <v>0</v>
      </c>
      <c r="N385" t="str">
        <f>IF(Titanic_raw!L385="S","Southampton",IF(Titanic_raw!L385="Q","Queenstown",IF(Titanic_raw!L385="C","Cherbourg")))</f>
        <v>Southampton</v>
      </c>
    </row>
    <row r="386" spans="1:14" x14ac:dyDescent="0.2">
      <c r="A386" s="18">
        <f>Titanic_raw!A386</f>
        <v>1276</v>
      </c>
      <c r="B386" s="17">
        <f>Titanic_raw!B386</f>
        <v>0</v>
      </c>
      <c r="C386" s="17" t="str">
        <f t="shared" ref="C386:C419" si="6">IF(B386=0,"Dead","Survived")</f>
        <v>Dead</v>
      </c>
      <c r="D386" s="17" t="str">
        <f>CONCATENATE(Titanic_raw!C386, " Class")</f>
        <v>2 Class</v>
      </c>
      <c r="E386" s="19" t="str">
        <f>INDEX(tbl_passenger[Full Name],MATCH(A386,tbl_passenger[PassengerId],0))</f>
        <v>Mr. Edwin Frederick"" Wheeler</v>
      </c>
      <c r="F386" t="str">
        <f>INDEX(tbl_passenger[Sex],MATCH(A386,tbl_passenger[PassengerId],0))</f>
        <v>Male</v>
      </c>
      <c r="G386" t="str">
        <f>IF(tbl_figures[Age]&lt;20, "Teens (0-19)", IF(tbl_figures[Age] &lt;40, "Youth (20-39)", IF(tbl_figures[Age]&lt;60, "Adult (40-59)", IF(tbl_figures[Age]&gt;=60, "Elders (60-Above)"))))</f>
        <v>Youth (20-39)</v>
      </c>
      <c r="H386" s="25">
        <f>IF(ISBLANK(Titanic_raw!F386),$C$423,Titanic_raw!F386)</f>
        <v>30.272590325616491</v>
      </c>
      <c r="I386">
        <f>Titanic_raw!G386</f>
        <v>0</v>
      </c>
      <c r="J386">
        <f>Titanic_raw!H386</f>
        <v>0</v>
      </c>
      <c r="K386" t="str">
        <f>Titanic_raw!I386</f>
        <v>SC/PARIS 2159</v>
      </c>
      <c r="L386" s="26">
        <f>IF(ISBLANK(Titanic_raw!J386),$C$427,Titanic_raw!J386)</f>
        <v>12.875</v>
      </c>
      <c r="M386">
        <f>Titanic_raw!K386</f>
        <v>0</v>
      </c>
      <c r="N386" t="str">
        <f>IF(Titanic_raw!L386="S","Southampton",IF(Titanic_raw!L386="Q","Queenstown",IF(Titanic_raw!L386="C","Cherbourg")))</f>
        <v>Southampton</v>
      </c>
    </row>
    <row r="387" spans="1:14" x14ac:dyDescent="0.2">
      <c r="A387" s="18">
        <f>Titanic_raw!A387</f>
        <v>1277</v>
      </c>
      <c r="B387" s="21">
        <f>Titanic_raw!B387</f>
        <v>1</v>
      </c>
      <c r="C387" s="21" t="str">
        <f t="shared" si="6"/>
        <v>Survived</v>
      </c>
      <c r="D387" s="21" t="str">
        <f>CONCATENATE(Titanic_raw!C387, " Class")</f>
        <v>2 Class</v>
      </c>
      <c r="E387" s="23" t="str">
        <f>INDEX(tbl_passenger[Full Name],MATCH(A387,tbl_passenger[PassengerId],0))</f>
        <v>Miss. Kate Herman</v>
      </c>
      <c r="F387" t="str">
        <f>INDEX(tbl_passenger[Sex],MATCH(A387,tbl_passenger[PassengerId],0))</f>
        <v>Female</v>
      </c>
      <c r="G387" t="str">
        <f>IF(tbl_figures[Age]&lt;20, "Teens (0-19)", IF(tbl_figures[Age] &lt;40, "Youth (20-39)", IF(tbl_figures[Age]&lt;60, "Adult (40-59)", IF(tbl_figures[Age]&gt;=60, "Elders (60-Above)"))))</f>
        <v>Youth (20-39)</v>
      </c>
      <c r="H387" s="25">
        <f>IF(ISBLANK(Titanic_raw!F387),$C$423,Titanic_raw!F387)</f>
        <v>24</v>
      </c>
      <c r="I387">
        <f>Titanic_raw!G387</f>
        <v>1</v>
      </c>
      <c r="J387">
        <f>Titanic_raw!H387</f>
        <v>2</v>
      </c>
      <c r="K387">
        <f>Titanic_raw!I387</f>
        <v>220845</v>
      </c>
      <c r="L387" s="26">
        <f>IF(ISBLANK(Titanic_raw!J387),$C$427,Titanic_raw!J387)</f>
        <v>65</v>
      </c>
      <c r="M387">
        <f>Titanic_raw!K387</f>
        <v>0</v>
      </c>
      <c r="N387" t="str">
        <f>IF(Titanic_raw!L387="S","Southampton",IF(Titanic_raw!L387="Q","Queenstown",IF(Titanic_raw!L387="C","Cherbourg")))</f>
        <v>Southampton</v>
      </c>
    </row>
    <row r="388" spans="1:14" x14ac:dyDescent="0.2">
      <c r="A388" s="18">
        <f>Titanic_raw!A388</f>
        <v>1278</v>
      </c>
      <c r="B388" s="17">
        <f>Titanic_raw!B388</f>
        <v>0</v>
      </c>
      <c r="C388" s="17" t="str">
        <f t="shared" si="6"/>
        <v>Dead</v>
      </c>
      <c r="D388" s="17" t="str">
        <f>CONCATENATE(Titanic_raw!C388, " Class")</f>
        <v>3 Class</v>
      </c>
      <c r="E388" s="19" t="str">
        <f>INDEX(tbl_passenger[Full Name],MATCH(A388,tbl_passenger[PassengerId],0))</f>
        <v>Mr. Ernst Axel Algot Aronsson</v>
      </c>
      <c r="F388" t="str">
        <f>INDEX(tbl_passenger[Sex],MATCH(A388,tbl_passenger[PassengerId],0))</f>
        <v>Male</v>
      </c>
      <c r="G388" t="str">
        <f>IF(tbl_figures[Age]&lt;20, "Teens (0-19)", IF(tbl_figures[Age] &lt;40, "Youth (20-39)", IF(tbl_figures[Age]&lt;60, "Adult (40-59)", IF(tbl_figures[Age]&gt;=60, "Elders (60-Above)"))))</f>
        <v>Youth (20-39)</v>
      </c>
      <c r="H388" s="25">
        <f>IF(ISBLANK(Titanic_raw!F388),$C$423,Titanic_raw!F388)</f>
        <v>24</v>
      </c>
      <c r="I388">
        <f>Titanic_raw!G388</f>
        <v>0</v>
      </c>
      <c r="J388">
        <f>Titanic_raw!H388</f>
        <v>0</v>
      </c>
      <c r="K388">
        <f>Titanic_raw!I388</f>
        <v>349911</v>
      </c>
      <c r="L388" s="26">
        <f>IF(ISBLANK(Titanic_raw!J388),$C$427,Titanic_raw!J388)</f>
        <v>7.7750000000000004</v>
      </c>
      <c r="M388">
        <f>Titanic_raw!K388</f>
        <v>0</v>
      </c>
      <c r="N388" t="str">
        <f>IF(Titanic_raw!L388="S","Southampton",IF(Titanic_raw!L388="Q","Queenstown",IF(Titanic_raw!L388="C","Cherbourg")))</f>
        <v>Southampton</v>
      </c>
    </row>
    <row r="389" spans="1:14" x14ac:dyDescent="0.2">
      <c r="A389" s="18">
        <f>Titanic_raw!A389</f>
        <v>1279</v>
      </c>
      <c r="B389" s="21">
        <f>Titanic_raw!B389</f>
        <v>0</v>
      </c>
      <c r="C389" s="21" t="str">
        <f t="shared" si="6"/>
        <v>Dead</v>
      </c>
      <c r="D389" s="21" t="str">
        <f>CONCATENATE(Titanic_raw!C389, " Class")</f>
        <v>2 Class</v>
      </c>
      <c r="E389" s="23" t="str">
        <f>INDEX(tbl_passenger[Full Name],MATCH(A389,tbl_passenger[PassengerId],0))</f>
        <v>Mr. John Ashby</v>
      </c>
      <c r="F389" t="str">
        <f>INDEX(tbl_passenger[Sex],MATCH(A389,tbl_passenger[PassengerId],0))</f>
        <v>Male</v>
      </c>
      <c r="G389" t="str">
        <f>IF(tbl_figures[Age]&lt;20, "Teens (0-19)", IF(tbl_figures[Age] &lt;40, "Youth (20-39)", IF(tbl_figures[Age]&lt;60, "Adult (40-59)", IF(tbl_figures[Age]&gt;=60, "Elders (60-Above)"))))</f>
        <v>Adult (40-59)</v>
      </c>
      <c r="H389" s="25">
        <f>IF(ISBLANK(Titanic_raw!F389),$C$423,Titanic_raw!F389)</f>
        <v>57</v>
      </c>
      <c r="I389">
        <f>Titanic_raw!G389</f>
        <v>0</v>
      </c>
      <c r="J389">
        <f>Titanic_raw!H389</f>
        <v>0</v>
      </c>
      <c r="K389">
        <f>Titanic_raw!I389</f>
        <v>244346</v>
      </c>
      <c r="L389" s="26">
        <f>IF(ISBLANK(Titanic_raw!J389),$C$427,Titanic_raw!J389)</f>
        <v>13</v>
      </c>
      <c r="M389">
        <f>Titanic_raw!K389</f>
        <v>0</v>
      </c>
      <c r="N389" t="str">
        <f>IF(Titanic_raw!L389="S","Southampton",IF(Titanic_raw!L389="Q","Queenstown",IF(Titanic_raw!L389="C","Cherbourg")))</f>
        <v>Southampton</v>
      </c>
    </row>
    <row r="390" spans="1:14" x14ac:dyDescent="0.2">
      <c r="A390" s="18">
        <f>Titanic_raw!A390</f>
        <v>1280</v>
      </c>
      <c r="B390" s="17">
        <f>Titanic_raw!B390</f>
        <v>0</v>
      </c>
      <c r="C390" s="17" t="str">
        <f t="shared" si="6"/>
        <v>Dead</v>
      </c>
      <c r="D390" s="17" t="str">
        <f>CONCATENATE(Titanic_raw!C390, " Class")</f>
        <v>3 Class</v>
      </c>
      <c r="E390" s="19" t="str">
        <f>INDEX(tbl_passenger[Full Name],MATCH(A390,tbl_passenger[PassengerId],0))</f>
        <v>Mr. Patrick Canavan</v>
      </c>
      <c r="F390" t="str">
        <f>INDEX(tbl_passenger[Sex],MATCH(A390,tbl_passenger[PassengerId],0))</f>
        <v>Male</v>
      </c>
      <c r="G390" t="str">
        <f>IF(tbl_figures[Age]&lt;20, "Teens (0-19)", IF(tbl_figures[Age] &lt;40, "Youth (20-39)", IF(tbl_figures[Age]&lt;60, "Adult (40-59)", IF(tbl_figures[Age]&gt;=60, "Elders (60-Above)"))))</f>
        <v>Youth (20-39)</v>
      </c>
      <c r="H390" s="25">
        <f>IF(ISBLANK(Titanic_raw!F390),$C$423,Titanic_raw!F390)</f>
        <v>21</v>
      </c>
      <c r="I390">
        <f>Titanic_raw!G390</f>
        <v>0</v>
      </c>
      <c r="J390">
        <f>Titanic_raw!H390</f>
        <v>0</v>
      </c>
      <c r="K390">
        <f>Titanic_raw!I390</f>
        <v>364858</v>
      </c>
      <c r="L390" s="26">
        <f>IF(ISBLANK(Titanic_raw!J390),$C$427,Titanic_raw!J390)</f>
        <v>7.75</v>
      </c>
      <c r="M390">
        <f>Titanic_raw!K390</f>
        <v>0</v>
      </c>
      <c r="N390" t="str">
        <f>IF(Titanic_raw!L390="S","Southampton",IF(Titanic_raw!L390="Q","Queenstown",IF(Titanic_raw!L390="C","Cherbourg")))</f>
        <v>Queenstown</v>
      </c>
    </row>
    <row r="391" spans="1:14" x14ac:dyDescent="0.2">
      <c r="A391" s="18">
        <f>Titanic_raw!A391</f>
        <v>1281</v>
      </c>
      <c r="B391" s="21">
        <f>Titanic_raw!B391</f>
        <v>0</v>
      </c>
      <c r="C391" s="21" t="str">
        <f t="shared" si="6"/>
        <v>Dead</v>
      </c>
      <c r="D391" s="21" t="str">
        <f>CONCATENATE(Titanic_raw!C391, " Class")</f>
        <v>3 Class</v>
      </c>
      <c r="E391" s="23" t="str">
        <f>INDEX(tbl_passenger[Full Name],MATCH(A391,tbl_passenger[PassengerId],0))</f>
        <v>Master. Paul Folke Palsson</v>
      </c>
      <c r="F391" t="str">
        <f>INDEX(tbl_passenger[Sex],MATCH(A391,tbl_passenger[PassengerId],0))</f>
        <v>Male</v>
      </c>
      <c r="G391" t="str">
        <f>IF(tbl_figures[Age]&lt;20, "Teens (0-19)", IF(tbl_figures[Age] &lt;40, "Youth (20-39)", IF(tbl_figures[Age]&lt;60, "Adult (40-59)", IF(tbl_figures[Age]&gt;=60, "Elders (60-Above)"))))</f>
        <v>Teens (0-19)</v>
      </c>
      <c r="H391" s="25">
        <f>IF(ISBLANK(Titanic_raw!F391),$C$423,Titanic_raw!F391)</f>
        <v>6</v>
      </c>
      <c r="I391">
        <f>Titanic_raw!G391</f>
        <v>3</v>
      </c>
      <c r="J391">
        <f>Titanic_raw!H391</f>
        <v>1</v>
      </c>
      <c r="K391">
        <f>Titanic_raw!I391</f>
        <v>349909</v>
      </c>
      <c r="L391" s="26">
        <f>IF(ISBLANK(Titanic_raw!J391),$C$427,Titanic_raw!J391)</f>
        <v>21.074999999999999</v>
      </c>
      <c r="M391">
        <f>Titanic_raw!K391</f>
        <v>0</v>
      </c>
      <c r="N391" t="str">
        <f>IF(Titanic_raw!L391="S","Southampton",IF(Titanic_raw!L391="Q","Queenstown",IF(Titanic_raw!L391="C","Cherbourg")))</f>
        <v>Southampton</v>
      </c>
    </row>
    <row r="392" spans="1:14" x14ac:dyDescent="0.2">
      <c r="A392" s="18">
        <f>Titanic_raw!A392</f>
        <v>1282</v>
      </c>
      <c r="B392" s="17">
        <f>Titanic_raw!B392</f>
        <v>0</v>
      </c>
      <c r="C392" s="17" t="str">
        <f t="shared" si="6"/>
        <v>Dead</v>
      </c>
      <c r="D392" s="17" t="str">
        <f>CONCATENATE(Titanic_raw!C392, " Class")</f>
        <v>1 Class</v>
      </c>
      <c r="E392" s="19" t="str">
        <f>INDEX(tbl_passenger[Full Name],MATCH(A392,tbl_passenger[PassengerId],0))</f>
        <v>Mr. Vivian Ponsonby Payne</v>
      </c>
      <c r="F392" t="str">
        <f>INDEX(tbl_passenger[Sex],MATCH(A392,tbl_passenger[PassengerId],0))</f>
        <v>Male</v>
      </c>
      <c r="G392" t="str">
        <f>IF(tbl_figures[Age]&lt;20, "Teens (0-19)", IF(tbl_figures[Age] &lt;40, "Youth (20-39)", IF(tbl_figures[Age]&lt;60, "Adult (40-59)", IF(tbl_figures[Age]&gt;=60, "Elders (60-Above)"))))</f>
        <v>Youth (20-39)</v>
      </c>
      <c r="H392" s="25">
        <f>IF(ISBLANK(Titanic_raw!F392),$C$423,Titanic_raw!F392)</f>
        <v>23</v>
      </c>
      <c r="I392">
        <f>Titanic_raw!G392</f>
        <v>0</v>
      </c>
      <c r="J392">
        <f>Titanic_raw!H392</f>
        <v>0</v>
      </c>
      <c r="K392">
        <f>Titanic_raw!I392</f>
        <v>12749</v>
      </c>
      <c r="L392" s="26">
        <f>IF(ISBLANK(Titanic_raw!J392),$C$427,Titanic_raw!J392)</f>
        <v>93.5</v>
      </c>
      <c r="M392" t="str">
        <f>Titanic_raw!K392</f>
        <v>B24</v>
      </c>
      <c r="N392" t="str">
        <f>IF(Titanic_raw!L392="S","Southampton",IF(Titanic_raw!L392="Q","Queenstown",IF(Titanic_raw!L392="C","Cherbourg")))</f>
        <v>Southampton</v>
      </c>
    </row>
    <row r="393" spans="1:14" x14ac:dyDescent="0.2">
      <c r="A393" s="18">
        <f>Titanic_raw!A393</f>
        <v>1283</v>
      </c>
      <c r="B393" s="21">
        <f>Titanic_raw!B393</f>
        <v>1</v>
      </c>
      <c r="C393" s="21" t="str">
        <f t="shared" si="6"/>
        <v>Survived</v>
      </c>
      <c r="D393" s="21" t="str">
        <f>CONCATENATE(Titanic_raw!C393, " Class")</f>
        <v>1 Class</v>
      </c>
      <c r="E393" s="23" t="str">
        <f>INDEX(tbl_passenger[Full Name],MATCH(A393,tbl_passenger[PassengerId],0))</f>
        <v>Mrs. Ernest H (Elizabeth Lindsey James) Lines</v>
      </c>
      <c r="F393" t="str">
        <f>INDEX(tbl_passenger[Sex],MATCH(A393,tbl_passenger[PassengerId],0))</f>
        <v>Female</v>
      </c>
      <c r="G393" t="str">
        <f>IF(tbl_figures[Age]&lt;20, "Teens (0-19)", IF(tbl_figures[Age] &lt;40, "Youth (20-39)", IF(tbl_figures[Age]&lt;60, "Adult (40-59)", IF(tbl_figures[Age]&gt;=60, "Elders (60-Above)"))))</f>
        <v>Adult (40-59)</v>
      </c>
      <c r="H393" s="25">
        <f>IF(ISBLANK(Titanic_raw!F393),$C$423,Titanic_raw!F393)</f>
        <v>51</v>
      </c>
      <c r="I393">
        <f>Titanic_raw!G393</f>
        <v>0</v>
      </c>
      <c r="J393">
        <f>Titanic_raw!H393</f>
        <v>1</v>
      </c>
      <c r="K393" t="str">
        <f>Titanic_raw!I393</f>
        <v>PC 17592</v>
      </c>
      <c r="L393" s="26">
        <f>IF(ISBLANK(Titanic_raw!J393),$C$427,Titanic_raw!J393)</f>
        <v>39.4</v>
      </c>
      <c r="M393" t="str">
        <f>Titanic_raw!K393</f>
        <v>D28</v>
      </c>
      <c r="N393" t="str">
        <f>IF(Titanic_raw!L393="S","Southampton",IF(Titanic_raw!L393="Q","Queenstown",IF(Titanic_raw!L393="C","Cherbourg")))</f>
        <v>Southampton</v>
      </c>
    </row>
    <row r="394" spans="1:14" x14ac:dyDescent="0.2">
      <c r="A394" s="18">
        <f>Titanic_raw!A394</f>
        <v>1284</v>
      </c>
      <c r="B394" s="17">
        <f>Titanic_raw!B394</f>
        <v>0</v>
      </c>
      <c r="C394" s="17" t="str">
        <f t="shared" si="6"/>
        <v>Dead</v>
      </c>
      <c r="D394" s="17" t="str">
        <f>CONCATENATE(Titanic_raw!C394, " Class")</f>
        <v>3 Class</v>
      </c>
      <c r="E394" s="19" t="str">
        <f>INDEX(tbl_passenger[Full Name],MATCH(A394,tbl_passenger[PassengerId],0))</f>
        <v>Master. Eugene Joseph Abbott</v>
      </c>
      <c r="F394" t="str">
        <f>INDEX(tbl_passenger[Sex],MATCH(A394,tbl_passenger[PassengerId],0))</f>
        <v>Male</v>
      </c>
      <c r="G394" t="str">
        <f>IF(tbl_figures[Age]&lt;20, "Teens (0-19)", IF(tbl_figures[Age] &lt;40, "Youth (20-39)", IF(tbl_figures[Age]&lt;60, "Adult (40-59)", IF(tbl_figures[Age]&gt;=60, "Elders (60-Above)"))))</f>
        <v>Teens (0-19)</v>
      </c>
      <c r="H394" s="25">
        <f>IF(ISBLANK(Titanic_raw!F394),$C$423,Titanic_raw!F394)</f>
        <v>13</v>
      </c>
      <c r="I394">
        <f>Titanic_raw!G394</f>
        <v>0</v>
      </c>
      <c r="J394">
        <f>Titanic_raw!H394</f>
        <v>2</v>
      </c>
      <c r="K394" t="str">
        <f>Titanic_raw!I394</f>
        <v>C.A. 2673</v>
      </c>
      <c r="L394" s="26">
        <f>IF(ISBLANK(Titanic_raw!J394),$C$427,Titanic_raw!J394)</f>
        <v>20.25</v>
      </c>
      <c r="M394">
        <f>Titanic_raw!K394</f>
        <v>0</v>
      </c>
      <c r="N394" t="str">
        <f>IF(Titanic_raw!L394="S","Southampton",IF(Titanic_raw!L394="Q","Queenstown",IF(Titanic_raw!L394="C","Cherbourg")))</f>
        <v>Southampton</v>
      </c>
    </row>
    <row r="395" spans="1:14" x14ac:dyDescent="0.2">
      <c r="A395" s="18">
        <f>Titanic_raw!A395</f>
        <v>1285</v>
      </c>
      <c r="B395" s="21">
        <f>Titanic_raw!B395</f>
        <v>0</v>
      </c>
      <c r="C395" s="21" t="str">
        <f t="shared" si="6"/>
        <v>Dead</v>
      </c>
      <c r="D395" s="21" t="str">
        <f>CONCATENATE(Titanic_raw!C395, " Class")</f>
        <v>2 Class</v>
      </c>
      <c r="E395" s="23" t="str">
        <f>INDEX(tbl_passenger[Full Name],MATCH(A395,tbl_passenger[PassengerId],0))</f>
        <v>Mr. William Gilbert</v>
      </c>
      <c r="F395" t="str">
        <f>INDEX(tbl_passenger[Sex],MATCH(A395,tbl_passenger[PassengerId],0))</f>
        <v>Male</v>
      </c>
      <c r="G395" t="str">
        <f>IF(tbl_figures[Age]&lt;20, "Teens (0-19)", IF(tbl_figures[Age] &lt;40, "Youth (20-39)", IF(tbl_figures[Age]&lt;60, "Adult (40-59)", IF(tbl_figures[Age]&gt;=60, "Elders (60-Above)"))))</f>
        <v>Adult (40-59)</v>
      </c>
      <c r="H395" s="25">
        <f>IF(ISBLANK(Titanic_raw!F395),$C$423,Titanic_raw!F395)</f>
        <v>47</v>
      </c>
      <c r="I395">
        <f>Titanic_raw!G395</f>
        <v>0</v>
      </c>
      <c r="J395">
        <f>Titanic_raw!H395</f>
        <v>0</v>
      </c>
      <c r="K395" t="str">
        <f>Titanic_raw!I395</f>
        <v>C.A. 30769</v>
      </c>
      <c r="L395" s="26">
        <f>IF(ISBLANK(Titanic_raw!J395),$C$427,Titanic_raw!J395)</f>
        <v>10.5</v>
      </c>
      <c r="M395">
        <f>Titanic_raw!K395</f>
        <v>0</v>
      </c>
      <c r="N395" t="str">
        <f>IF(Titanic_raw!L395="S","Southampton",IF(Titanic_raw!L395="Q","Queenstown",IF(Titanic_raw!L395="C","Cherbourg")))</f>
        <v>Southampton</v>
      </c>
    </row>
    <row r="396" spans="1:14" x14ac:dyDescent="0.2">
      <c r="A396" s="18">
        <f>Titanic_raw!A396</f>
        <v>1286</v>
      </c>
      <c r="B396" s="17">
        <f>Titanic_raw!B396</f>
        <v>0</v>
      </c>
      <c r="C396" s="17" t="str">
        <f t="shared" si="6"/>
        <v>Dead</v>
      </c>
      <c r="D396" s="17" t="str">
        <f>CONCATENATE(Titanic_raw!C396, " Class")</f>
        <v>3 Class</v>
      </c>
      <c r="E396" s="19" t="str">
        <f>INDEX(tbl_passenger[Full Name],MATCH(A396,tbl_passenger[PassengerId],0))</f>
        <v>Mr. Anton Kink-Heilmann</v>
      </c>
      <c r="F396" t="str">
        <f>INDEX(tbl_passenger[Sex],MATCH(A396,tbl_passenger[PassengerId],0))</f>
        <v>Male</v>
      </c>
      <c r="G396" t="str">
        <f>IF(tbl_figures[Age]&lt;20, "Teens (0-19)", IF(tbl_figures[Age] &lt;40, "Youth (20-39)", IF(tbl_figures[Age]&lt;60, "Adult (40-59)", IF(tbl_figures[Age]&gt;=60, "Elders (60-Above)"))))</f>
        <v>Youth (20-39)</v>
      </c>
      <c r="H396" s="25">
        <f>IF(ISBLANK(Titanic_raw!F396),$C$423,Titanic_raw!F396)</f>
        <v>29</v>
      </c>
      <c r="I396">
        <f>Titanic_raw!G396</f>
        <v>3</v>
      </c>
      <c r="J396">
        <f>Titanic_raw!H396</f>
        <v>1</v>
      </c>
      <c r="K396">
        <f>Titanic_raw!I396</f>
        <v>315153</v>
      </c>
      <c r="L396" s="26">
        <f>IF(ISBLANK(Titanic_raw!J396),$C$427,Titanic_raw!J396)</f>
        <v>22.024999999999999</v>
      </c>
      <c r="M396">
        <f>Titanic_raw!K396</f>
        <v>0</v>
      </c>
      <c r="N396" t="str">
        <f>IF(Titanic_raw!L396="S","Southampton",IF(Titanic_raw!L396="Q","Queenstown",IF(Titanic_raw!L396="C","Cherbourg")))</f>
        <v>Southampton</v>
      </c>
    </row>
    <row r="397" spans="1:14" x14ac:dyDescent="0.2">
      <c r="A397" s="18">
        <f>Titanic_raw!A397</f>
        <v>1287</v>
      </c>
      <c r="B397" s="21">
        <f>Titanic_raw!B397</f>
        <v>1</v>
      </c>
      <c r="C397" s="21" t="str">
        <f t="shared" si="6"/>
        <v>Survived</v>
      </c>
      <c r="D397" s="21" t="str">
        <f>CONCATENATE(Titanic_raw!C397, " Class")</f>
        <v>1 Class</v>
      </c>
      <c r="E397" s="23" t="str">
        <f>INDEX(tbl_passenger[Full Name],MATCH(A397,tbl_passenger[PassengerId],0))</f>
        <v>Mrs. Lucien Philip (Mary Eloise Hughes) Smith</v>
      </c>
      <c r="F397" t="str">
        <f>INDEX(tbl_passenger[Sex],MATCH(A397,tbl_passenger[PassengerId],0))</f>
        <v>Female</v>
      </c>
      <c r="G397" t="str">
        <f>IF(tbl_figures[Age]&lt;20, "Teens (0-19)", IF(tbl_figures[Age] &lt;40, "Youth (20-39)", IF(tbl_figures[Age]&lt;60, "Adult (40-59)", IF(tbl_figures[Age]&gt;=60, "Elders (60-Above)"))))</f>
        <v>Teens (0-19)</v>
      </c>
      <c r="H397" s="25">
        <f>IF(ISBLANK(Titanic_raw!F397),$C$423,Titanic_raw!F397)</f>
        <v>18</v>
      </c>
      <c r="I397">
        <f>Titanic_raw!G397</f>
        <v>1</v>
      </c>
      <c r="J397">
        <f>Titanic_raw!H397</f>
        <v>0</v>
      </c>
      <c r="K397">
        <f>Titanic_raw!I397</f>
        <v>13695</v>
      </c>
      <c r="L397" s="26">
        <f>IF(ISBLANK(Titanic_raw!J397),$C$427,Titanic_raw!J397)</f>
        <v>60</v>
      </c>
      <c r="M397" t="str">
        <f>Titanic_raw!K397</f>
        <v>C31</v>
      </c>
      <c r="N397" t="str">
        <f>IF(Titanic_raw!L397="S","Southampton",IF(Titanic_raw!L397="Q","Queenstown",IF(Titanic_raw!L397="C","Cherbourg")))</f>
        <v>Southampton</v>
      </c>
    </row>
    <row r="398" spans="1:14" x14ac:dyDescent="0.2">
      <c r="A398" s="18">
        <f>Titanic_raw!A398</f>
        <v>1288</v>
      </c>
      <c r="B398" s="17">
        <f>Titanic_raw!B398</f>
        <v>0</v>
      </c>
      <c r="C398" s="17" t="str">
        <f t="shared" si="6"/>
        <v>Dead</v>
      </c>
      <c r="D398" s="17" t="str">
        <f>CONCATENATE(Titanic_raw!C398, " Class")</f>
        <v>3 Class</v>
      </c>
      <c r="E398" s="19" t="str">
        <f>INDEX(tbl_passenger[Full Name],MATCH(A398,tbl_passenger[PassengerId],0))</f>
        <v>Mr. Patrick Colbert</v>
      </c>
      <c r="F398" t="str">
        <f>INDEX(tbl_passenger[Sex],MATCH(A398,tbl_passenger[PassengerId],0))</f>
        <v>Male</v>
      </c>
      <c r="G398" t="str">
        <f>IF(tbl_figures[Age]&lt;20, "Teens (0-19)", IF(tbl_figures[Age] &lt;40, "Youth (20-39)", IF(tbl_figures[Age]&lt;60, "Adult (40-59)", IF(tbl_figures[Age]&gt;=60, "Elders (60-Above)"))))</f>
        <v>Youth (20-39)</v>
      </c>
      <c r="H398" s="25">
        <f>IF(ISBLANK(Titanic_raw!F398),$C$423,Titanic_raw!F398)</f>
        <v>24</v>
      </c>
      <c r="I398">
        <f>Titanic_raw!G398</f>
        <v>0</v>
      </c>
      <c r="J398">
        <f>Titanic_raw!H398</f>
        <v>0</v>
      </c>
      <c r="K398">
        <f>Titanic_raw!I398</f>
        <v>371109</v>
      </c>
      <c r="L398" s="26">
        <f>IF(ISBLANK(Titanic_raw!J398),$C$427,Titanic_raw!J398)</f>
        <v>7.25</v>
      </c>
      <c r="M398">
        <f>Titanic_raw!K398</f>
        <v>0</v>
      </c>
      <c r="N398" t="str">
        <f>IF(Titanic_raw!L398="S","Southampton",IF(Titanic_raw!L398="Q","Queenstown",IF(Titanic_raw!L398="C","Cherbourg")))</f>
        <v>Queenstown</v>
      </c>
    </row>
    <row r="399" spans="1:14" x14ac:dyDescent="0.2">
      <c r="A399" s="18">
        <f>Titanic_raw!A399</f>
        <v>1289</v>
      </c>
      <c r="B399" s="21">
        <f>Titanic_raw!B399</f>
        <v>1</v>
      </c>
      <c r="C399" s="21" t="str">
        <f t="shared" si="6"/>
        <v>Survived</v>
      </c>
      <c r="D399" s="21" t="str">
        <f>CONCATENATE(Titanic_raw!C399, " Class")</f>
        <v>1 Class</v>
      </c>
      <c r="E399" s="23" t="str">
        <f>INDEX(tbl_passenger[Full Name],MATCH(A399,tbl_passenger[PassengerId],0))</f>
        <v>Mrs. Maxmillian (Margaretha Emerentia Stehli) Frolicher-Stehli</v>
      </c>
      <c r="F399" t="str">
        <f>INDEX(tbl_passenger[Sex],MATCH(A399,tbl_passenger[PassengerId],0))</f>
        <v>Female</v>
      </c>
      <c r="G399" t="str">
        <f>IF(tbl_figures[Age]&lt;20, "Teens (0-19)", IF(tbl_figures[Age] &lt;40, "Youth (20-39)", IF(tbl_figures[Age]&lt;60, "Adult (40-59)", IF(tbl_figures[Age]&gt;=60, "Elders (60-Above)"))))</f>
        <v>Adult (40-59)</v>
      </c>
      <c r="H399" s="25">
        <f>IF(ISBLANK(Titanic_raw!F399),$C$423,Titanic_raw!F399)</f>
        <v>48</v>
      </c>
      <c r="I399">
        <f>Titanic_raw!G399</f>
        <v>1</v>
      </c>
      <c r="J399">
        <f>Titanic_raw!H399</f>
        <v>1</v>
      </c>
      <c r="K399">
        <f>Titanic_raw!I399</f>
        <v>13567</v>
      </c>
      <c r="L399" s="26">
        <f>IF(ISBLANK(Titanic_raw!J399),$C$427,Titanic_raw!J399)</f>
        <v>79.2</v>
      </c>
      <c r="M399" t="str">
        <f>Titanic_raw!K399</f>
        <v>B41</v>
      </c>
      <c r="N399" t="str">
        <f>IF(Titanic_raw!L399="S","Southampton",IF(Titanic_raw!L399="Q","Queenstown",IF(Titanic_raw!L399="C","Cherbourg")))</f>
        <v>Cherbourg</v>
      </c>
    </row>
    <row r="400" spans="1:14" x14ac:dyDescent="0.2">
      <c r="A400" s="18">
        <f>Titanic_raw!A400</f>
        <v>1290</v>
      </c>
      <c r="B400" s="17">
        <f>Titanic_raw!B400</f>
        <v>0</v>
      </c>
      <c r="C400" s="17" t="str">
        <f t="shared" si="6"/>
        <v>Dead</v>
      </c>
      <c r="D400" s="17" t="str">
        <f>CONCATENATE(Titanic_raw!C400, " Class")</f>
        <v>3 Class</v>
      </c>
      <c r="E400" s="19" t="str">
        <f>INDEX(tbl_passenger[Full Name],MATCH(A400,tbl_passenger[PassengerId],0))</f>
        <v>Mr. Edvard A Larsson-Rondberg</v>
      </c>
      <c r="F400" t="str">
        <f>INDEX(tbl_passenger[Sex],MATCH(A400,tbl_passenger[PassengerId],0))</f>
        <v>Male</v>
      </c>
      <c r="G400" t="str">
        <f>IF(tbl_figures[Age]&lt;20, "Teens (0-19)", IF(tbl_figures[Age] &lt;40, "Youth (20-39)", IF(tbl_figures[Age]&lt;60, "Adult (40-59)", IF(tbl_figures[Age]&gt;=60, "Elders (60-Above)"))))</f>
        <v>Youth (20-39)</v>
      </c>
      <c r="H400" s="25">
        <f>IF(ISBLANK(Titanic_raw!F400),$C$423,Titanic_raw!F400)</f>
        <v>22</v>
      </c>
      <c r="I400">
        <f>Titanic_raw!G400</f>
        <v>0</v>
      </c>
      <c r="J400">
        <f>Titanic_raw!H400</f>
        <v>0</v>
      </c>
      <c r="K400">
        <f>Titanic_raw!I400</f>
        <v>347065</v>
      </c>
      <c r="L400" s="26">
        <f>IF(ISBLANK(Titanic_raw!J400),$C$427,Titanic_raw!J400)</f>
        <v>7.7750000000000004</v>
      </c>
      <c r="M400">
        <f>Titanic_raw!K400</f>
        <v>0</v>
      </c>
      <c r="N400" t="str">
        <f>IF(Titanic_raw!L400="S","Southampton",IF(Titanic_raw!L400="Q","Queenstown",IF(Titanic_raw!L400="C","Cherbourg")))</f>
        <v>Southampton</v>
      </c>
    </row>
    <row r="401" spans="1:14" x14ac:dyDescent="0.2">
      <c r="A401" s="18">
        <f>Titanic_raw!A401</f>
        <v>1291</v>
      </c>
      <c r="B401" s="21">
        <f>Titanic_raw!B401</f>
        <v>0</v>
      </c>
      <c r="C401" s="21" t="str">
        <f t="shared" si="6"/>
        <v>Dead</v>
      </c>
      <c r="D401" s="21" t="str">
        <f>CONCATENATE(Titanic_raw!C401, " Class")</f>
        <v>3 Class</v>
      </c>
      <c r="E401" s="23" t="str">
        <f>INDEX(tbl_passenger[Full Name],MATCH(A401,tbl_passenger[PassengerId],0))</f>
        <v>Mr. Thomas Henry Conlon</v>
      </c>
      <c r="F401" t="str">
        <f>INDEX(tbl_passenger[Sex],MATCH(A401,tbl_passenger[PassengerId],0))</f>
        <v>Male</v>
      </c>
      <c r="G401" t="str">
        <f>IF(tbl_figures[Age]&lt;20, "Teens (0-19)", IF(tbl_figures[Age] &lt;40, "Youth (20-39)", IF(tbl_figures[Age]&lt;60, "Adult (40-59)", IF(tbl_figures[Age]&gt;=60, "Elders (60-Above)"))))</f>
        <v>Youth (20-39)</v>
      </c>
      <c r="H401" s="25">
        <f>IF(ISBLANK(Titanic_raw!F401),$C$423,Titanic_raw!F401)</f>
        <v>31</v>
      </c>
      <c r="I401">
        <f>Titanic_raw!G401</f>
        <v>0</v>
      </c>
      <c r="J401">
        <f>Titanic_raw!H401</f>
        <v>0</v>
      </c>
      <c r="K401">
        <f>Titanic_raw!I401</f>
        <v>21332</v>
      </c>
      <c r="L401" s="26">
        <f>IF(ISBLANK(Titanic_raw!J401),$C$427,Titanic_raw!J401)</f>
        <v>7.7332999999999998</v>
      </c>
      <c r="M401">
        <f>Titanic_raw!K401</f>
        <v>0</v>
      </c>
      <c r="N401" t="str">
        <f>IF(Titanic_raw!L401="S","Southampton",IF(Titanic_raw!L401="Q","Queenstown",IF(Titanic_raw!L401="C","Cherbourg")))</f>
        <v>Queenstown</v>
      </c>
    </row>
    <row r="402" spans="1:14" x14ac:dyDescent="0.2">
      <c r="A402" s="18">
        <f>Titanic_raw!A402</f>
        <v>1292</v>
      </c>
      <c r="B402" s="17">
        <f>Titanic_raw!B402</f>
        <v>1</v>
      </c>
      <c r="C402" s="17" t="str">
        <f t="shared" si="6"/>
        <v>Survived</v>
      </c>
      <c r="D402" s="17" t="str">
        <f>CONCATENATE(Titanic_raw!C402, " Class")</f>
        <v>1 Class</v>
      </c>
      <c r="E402" s="19" t="str">
        <f>INDEX(tbl_passenger[Full Name],MATCH(A402,tbl_passenger[PassengerId],0))</f>
        <v>Miss. Caroline Bonnell</v>
      </c>
      <c r="F402" t="str">
        <f>INDEX(tbl_passenger[Sex],MATCH(A402,tbl_passenger[PassengerId],0))</f>
        <v>Female</v>
      </c>
      <c r="G402" t="str">
        <f>IF(tbl_figures[Age]&lt;20, "Teens (0-19)", IF(tbl_figures[Age] &lt;40, "Youth (20-39)", IF(tbl_figures[Age]&lt;60, "Adult (40-59)", IF(tbl_figures[Age]&gt;=60, "Elders (60-Above)"))))</f>
        <v>Youth (20-39)</v>
      </c>
      <c r="H402" s="25">
        <f>IF(ISBLANK(Titanic_raw!F402),$C$423,Titanic_raw!F402)</f>
        <v>30</v>
      </c>
      <c r="I402">
        <f>Titanic_raw!G402</f>
        <v>0</v>
      </c>
      <c r="J402">
        <f>Titanic_raw!H402</f>
        <v>0</v>
      </c>
      <c r="K402">
        <f>Titanic_raw!I402</f>
        <v>36928</v>
      </c>
      <c r="L402" s="26">
        <f>IF(ISBLANK(Titanic_raw!J402),$C$427,Titanic_raw!J402)</f>
        <v>164.86670000000001</v>
      </c>
      <c r="M402" t="str">
        <f>Titanic_raw!K402</f>
        <v>C7</v>
      </c>
      <c r="N402" t="str">
        <f>IF(Titanic_raw!L402="S","Southampton",IF(Titanic_raw!L402="Q","Queenstown",IF(Titanic_raw!L402="C","Cherbourg")))</f>
        <v>Southampton</v>
      </c>
    </row>
    <row r="403" spans="1:14" x14ac:dyDescent="0.2">
      <c r="A403" s="18">
        <f>Titanic_raw!A403</f>
        <v>1293</v>
      </c>
      <c r="B403" s="21">
        <f>Titanic_raw!B403</f>
        <v>0</v>
      </c>
      <c r="C403" s="21" t="str">
        <f t="shared" si="6"/>
        <v>Dead</v>
      </c>
      <c r="D403" s="21" t="str">
        <f>CONCATENATE(Titanic_raw!C403, " Class")</f>
        <v>2 Class</v>
      </c>
      <c r="E403" s="23" t="str">
        <f>INDEX(tbl_passenger[Full Name],MATCH(A403,tbl_passenger[PassengerId],0))</f>
        <v>Mr. Harry Gale</v>
      </c>
      <c r="F403" t="str">
        <f>INDEX(tbl_passenger[Sex],MATCH(A403,tbl_passenger[PassengerId],0))</f>
        <v>Male</v>
      </c>
      <c r="G403" t="str">
        <f>IF(tbl_figures[Age]&lt;20, "Teens (0-19)", IF(tbl_figures[Age] &lt;40, "Youth (20-39)", IF(tbl_figures[Age]&lt;60, "Adult (40-59)", IF(tbl_figures[Age]&gt;=60, "Elders (60-Above)"))))</f>
        <v>Youth (20-39)</v>
      </c>
      <c r="H403" s="25">
        <f>IF(ISBLANK(Titanic_raw!F403),$C$423,Titanic_raw!F403)</f>
        <v>38</v>
      </c>
      <c r="I403">
        <f>Titanic_raw!G403</f>
        <v>1</v>
      </c>
      <c r="J403">
        <f>Titanic_raw!H403</f>
        <v>0</v>
      </c>
      <c r="K403">
        <f>Titanic_raw!I403</f>
        <v>28664</v>
      </c>
      <c r="L403" s="26">
        <f>IF(ISBLANK(Titanic_raw!J403),$C$427,Titanic_raw!J403)</f>
        <v>21</v>
      </c>
      <c r="M403">
        <f>Titanic_raw!K403</f>
        <v>0</v>
      </c>
      <c r="N403" t="str">
        <f>IF(Titanic_raw!L403="S","Southampton",IF(Titanic_raw!L403="Q","Queenstown",IF(Titanic_raw!L403="C","Cherbourg")))</f>
        <v>Southampton</v>
      </c>
    </row>
    <row r="404" spans="1:14" x14ac:dyDescent="0.2">
      <c r="A404" s="18">
        <f>Titanic_raw!A404</f>
        <v>1294</v>
      </c>
      <c r="B404" s="17">
        <f>Titanic_raw!B404</f>
        <v>1</v>
      </c>
      <c r="C404" s="17" t="str">
        <f t="shared" si="6"/>
        <v>Survived</v>
      </c>
      <c r="D404" s="17" t="str">
        <f>CONCATENATE(Titanic_raw!C404, " Class")</f>
        <v>1 Class</v>
      </c>
      <c r="E404" s="19" t="str">
        <f>INDEX(tbl_passenger[Full Name],MATCH(A404,tbl_passenger[PassengerId],0))</f>
        <v>Miss. Dorothy Winifred Gibson</v>
      </c>
      <c r="F404" t="str">
        <f>INDEX(tbl_passenger[Sex],MATCH(A404,tbl_passenger[PassengerId],0))</f>
        <v>Female</v>
      </c>
      <c r="G404" t="str">
        <f>IF(tbl_figures[Age]&lt;20, "Teens (0-19)", IF(tbl_figures[Age] &lt;40, "Youth (20-39)", IF(tbl_figures[Age]&lt;60, "Adult (40-59)", IF(tbl_figures[Age]&gt;=60, "Elders (60-Above)"))))</f>
        <v>Youth (20-39)</v>
      </c>
      <c r="H404" s="25">
        <f>IF(ISBLANK(Titanic_raw!F404),$C$423,Titanic_raw!F404)</f>
        <v>22</v>
      </c>
      <c r="I404">
        <f>Titanic_raw!G404</f>
        <v>0</v>
      </c>
      <c r="J404">
        <f>Titanic_raw!H404</f>
        <v>1</v>
      </c>
      <c r="K404">
        <f>Titanic_raw!I404</f>
        <v>112378</v>
      </c>
      <c r="L404" s="26">
        <f>IF(ISBLANK(Titanic_raw!J404),$C$427,Titanic_raw!J404)</f>
        <v>59.4</v>
      </c>
      <c r="M404">
        <f>Titanic_raw!K404</f>
        <v>0</v>
      </c>
      <c r="N404" t="str">
        <f>IF(Titanic_raw!L404="S","Southampton",IF(Titanic_raw!L404="Q","Queenstown",IF(Titanic_raw!L404="C","Cherbourg")))</f>
        <v>Cherbourg</v>
      </c>
    </row>
    <row r="405" spans="1:14" x14ac:dyDescent="0.2">
      <c r="A405" s="18">
        <f>Titanic_raw!A405</f>
        <v>1295</v>
      </c>
      <c r="B405" s="21">
        <f>Titanic_raw!B405</f>
        <v>0</v>
      </c>
      <c r="C405" s="21" t="str">
        <f t="shared" si="6"/>
        <v>Dead</v>
      </c>
      <c r="D405" s="21" t="str">
        <f>CONCATENATE(Titanic_raw!C405, " Class")</f>
        <v>1 Class</v>
      </c>
      <c r="E405" s="23" t="str">
        <f>INDEX(tbl_passenger[Full Name],MATCH(A405,tbl_passenger[PassengerId],0))</f>
        <v>Mr. Jose Pedro Carrau</v>
      </c>
      <c r="F405" t="str">
        <f>INDEX(tbl_passenger[Sex],MATCH(A405,tbl_passenger[PassengerId],0))</f>
        <v>Male</v>
      </c>
      <c r="G405" t="str">
        <f>IF(tbl_figures[Age]&lt;20, "Teens (0-19)", IF(tbl_figures[Age] &lt;40, "Youth (20-39)", IF(tbl_figures[Age]&lt;60, "Adult (40-59)", IF(tbl_figures[Age]&gt;=60, "Elders (60-Above)"))))</f>
        <v>Teens (0-19)</v>
      </c>
      <c r="H405" s="25">
        <f>IF(ISBLANK(Titanic_raw!F405),$C$423,Titanic_raw!F405)</f>
        <v>17</v>
      </c>
      <c r="I405">
        <f>Titanic_raw!G405</f>
        <v>0</v>
      </c>
      <c r="J405">
        <f>Titanic_raw!H405</f>
        <v>0</v>
      </c>
      <c r="K405">
        <f>Titanic_raw!I405</f>
        <v>113059</v>
      </c>
      <c r="L405" s="26">
        <f>IF(ISBLANK(Titanic_raw!J405),$C$427,Titanic_raw!J405)</f>
        <v>47.1</v>
      </c>
      <c r="M405">
        <f>Titanic_raw!K405</f>
        <v>0</v>
      </c>
      <c r="N405" t="str">
        <f>IF(Titanic_raw!L405="S","Southampton",IF(Titanic_raw!L405="Q","Queenstown",IF(Titanic_raw!L405="C","Cherbourg")))</f>
        <v>Southampton</v>
      </c>
    </row>
    <row r="406" spans="1:14" x14ac:dyDescent="0.2">
      <c r="A406" s="18">
        <f>Titanic_raw!A406</f>
        <v>1296</v>
      </c>
      <c r="B406" s="17">
        <f>Titanic_raw!B406</f>
        <v>0</v>
      </c>
      <c r="C406" s="17" t="str">
        <f t="shared" si="6"/>
        <v>Dead</v>
      </c>
      <c r="D406" s="17" t="str">
        <f>CONCATENATE(Titanic_raw!C406, " Class")</f>
        <v>1 Class</v>
      </c>
      <c r="E406" s="19" t="str">
        <f>INDEX(tbl_passenger[Full Name],MATCH(A406,tbl_passenger[PassengerId],0))</f>
        <v>Mr. Isaac Gerald Frauenthal</v>
      </c>
      <c r="F406" t="str">
        <f>INDEX(tbl_passenger[Sex],MATCH(A406,tbl_passenger[PassengerId],0))</f>
        <v>Male</v>
      </c>
      <c r="G406" t="str">
        <f>IF(tbl_figures[Age]&lt;20, "Teens (0-19)", IF(tbl_figures[Age] &lt;40, "Youth (20-39)", IF(tbl_figures[Age]&lt;60, "Adult (40-59)", IF(tbl_figures[Age]&gt;=60, "Elders (60-Above)"))))</f>
        <v>Adult (40-59)</v>
      </c>
      <c r="H406" s="25">
        <f>IF(ISBLANK(Titanic_raw!F406),$C$423,Titanic_raw!F406)</f>
        <v>43</v>
      </c>
      <c r="I406">
        <f>Titanic_raw!G406</f>
        <v>1</v>
      </c>
      <c r="J406">
        <f>Titanic_raw!H406</f>
        <v>0</v>
      </c>
      <c r="K406">
        <f>Titanic_raw!I406</f>
        <v>17765</v>
      </c>
      <c r="L406" s="26">
        <f>IF(ISBLANK(Titanic_raw!J406),$C$427,Titanic_raw!J406)</f>
        <v>27.720800000000001</v>
      </c>
      <c r="M406" t="str">
        <f>Titanic_raw!K406</f>
        <v>D40</v>
      </c>
      <c r="N406" t="str">
        <f>IF(Titanic_raw!L406="S","Southampton",IF(Titanic_raw!L406="Q","Queenstown",IF(Titanic_raw!L406="C","Cherbourg")))</f>
        <v>Cherbourg</v>
      </c>
    </row>
    <row r="407" spans="1:14" x14ac:dyDescent="0.2">
      <c r="A407" s="18">
        <f>Titanic_raw!A407</f>
        <v>1297</v>
      </c>
      <c r="B407" s="21">
        <f>Titanic_raw!B407</f>
        <v>0</v>
      </c>
      <c r="C407" s="21" t="str">
        <f t="shared" si="6"/>
        <v>Dead</v>
      </c>
      <c r="D407" s="21" t="str">
        <f>CONCATENATE(Titanic_raw!C407, " Class")</f>
        <v>2 Class</v>
      </c>
      <c r="E407" s="23" t="str">
        <f>INDEX(tbl_passenger[Full Name],MATCH(A407,tbl_passenger[PassengerId],0))</f>
        <v>Mr. Alfred (Baron von Drachstedt")" Nourney</v>
      </c>
      <c r="F407" t="str">
        <f>INDEX(tbl_passenger[Sex],MATCH(A407,tbl_passenger[PassengerId],0))</f>
        <v>Male</v>
      </c>
      <c r="G407" t="str">
        <f>IF(tbl_figures[Age]&lt;20, "Teens (0-19)", IF(tbl_figures[Age] &lt;40, "Youth (20-39)", IF(tbl_figures[Age]&lt;60, "Adult (40-59)", IF(tbl_figures[Age]&gt;=60, "Elders (60-Above)"))))</f>
        <v>Youth (20-39)</v>
      </c>
      <c r="H407" s="25">
        <f>IF(ISBLANK(Titanic_raw!F407),$C$423,Titanic_raw!F407)</f>
        <v>20</v>
      </c>
      <c r="I407">
        <f>Titanic_raw!G407</f>
        <v>0</v>
      </c>
      <c r="J407">
        <f>Titanic_raw!H407</f>
        <v>0</v>
      </c>
      <c r="K407" t="str">
        <f>Titanic_raw!I407</f>
        <v>SC/PARIS 2166</v>
      </c>
      <c r="L407" s="26">
        <f>IF(ISBLANK(Titanic_raw!J407),$C$427,Titanic_raw!J407)</f>
        <v>13.862500000000001</v>
      </c>
      <c r="M407" t="str">
        <f>Titanic_raw!K407</f>
        <v>D38</v>
      </c>
      <c r="N407" t="str">
        <f>IF(Titanic_raw!L407="S","Southampton",IF(Titanic_raw!L407="Q","Queenstown",IF(Titanic_raw!L407="C","Cherbourg")))</f>
        <v>Cherbourg</v>
      </c>
    </row>
    <row r="408" spans="1:14" x14ac:dyDescent="0.2">
      <c r="A408" s="18">
        <f>Titanic_raw!A408</f>
        <v>1298</v>
      </c>
      <c r="B408" s="17">
        <f>Titanic_raw!B408</f>
        <v>0</v>
      </c>
      <c r="C408" s="17" t="str">
        <f t="shared" si="6"/>
        <v>Dead</v>
      </c>
      <c r="D408" s="17" t="str">
        <f>CONCATENATE(Titanic_raw!C408, " Class")</f>
        <v>2 Class</v>
      </c>
      <c r="E408" s="19" t="str">
        <f>INDEX(tbl_passenger[Full Name],MATCH(A408,tbl_passenger[PassengerId],0))</f>
        <v>Mr. William Jeffery Ware</v>
      </c>
      <c r="F408" t="str">
        <f>INDEX(tbl_passenger[Sex],MATCH(A408,tbl_passenger[PassengerId],0))</f>
        <v>Male</v>
      </c>
      <c r="G408" t="str">
        <f>IF(tbl_figures[Age]&lt;20, "Teens (0-19)", IF(tbl_figures[Age] &lt;40, "Youth (20-39)", IF(tbl_figures[Age]&lt;60, "Adult (40-59)", IF(tbl_figures[Age]&gt;=60, "Elders (60-Above)"))))</f>
        <v>Youth (20-39)</v>
      </c>
      <c r="H408" s="25">
        <f>IF(ISBLANK(Titanic_raw!F408),$C$423,Titanic_raw!F408)</f>
        <v>23</v>
      </c>
      <c r="I408">
        <f>Titanic_raw!G408</f>
        <v>1</v>
      </c>
      <c r="J408">
        <f>Titanic_raw!H408</f>
        <v>0</v>
      </c>
      <c r="K408">
        <f>Titanic_raw!I408</f>
        <v>28666</v>
      </c>
      <c r="L408" s="26">
        <f>IF(ISBLANK(Titanic_raw!J408),$C$427,Titanic_raw!J408)</f>
        <v>10.5</v>
      </c>
      <c r="M408">
        <f>Titanic_raw!K408</f>
        <v>0</v>
      </c>
      <c r="N408" t="str">
        <f>IF(Titanic_raw!L408="S","Southampton",IF(Titanic_raw!L408="Q","Queenstown",IF(Titanic_raw!L408="C","Cherbourg")))</f>
        <v>Southampton</v>
      </c>
    </row>
    <row r="409" spans="1:14" x14ac:dyDescent="0.2">
      <c r="A409" s="18">
        <f>Titanic_raw!A409</f>
        <v>1299</v>
      </c>
      <c r="B409" s="21">
        <f>Titanic_raw!B409</f>
        <v>0</v>
      </c>
      <c r="C409" s="21" t="str">
        <f t="shared" si="6"/>
        <v>Dead</v>
      </c>
      <c r="D409" s="21" t="str">
        <f>CONCATENATE(Titanic_raw!C409, " Class")</f>
        <v>1 Class</v>
      </c>
      <c r="E409" s="23" t="str">
        <f>INDEX(tbl_passenger[Full Name],MATCH(A409,tbl_passenger[PassengerId],0))</f>
        <v>Mr. George Dunton Widener</v>
      </c>
      <c r="F409" t="str">
        <f>INDEX(tbl_passenger[Sex],MATCH(A409,tbl_passenger[PassengerId],0))</f>
        <v>Male</v>
      </c>
      <c r="G409" t="str">
        <f>IF(tbl_figures[Age]&lt;20, "Teens (0-19)", IF(tbl_figures[Age] &lt;40, "Youth (20-39)", IF(tbl_figures[Age]&lt;60, "Adult (40-59)", IF(tbl_figures[Age]&gt;=60, "Elders (60-Above)"))))</f>
        <v>Adult (40-59)</v>
      </c>
      <c r="H409" s="25">
        <f>IF(ISBLANK(Titanic_raw!F409),$C$423,Titanic_raw!F409)</f>
        <v>50</v>
      </c>
      <c r="I409">
        <f>Titanic_raw!G409</f>
        <v>1</v>
      </c>
      <c r="J409">
        <f>Titanic_raw!H409</f>
        <v>1</v>
      </c>
      <c r="K409">
        <f>Titanic_raw!I409</f>
        <v>113503</v>
      </c>
      <c r="L409" s="26">
        <f>IF(ISBLANK(Titanic_raw!J409),$C$427,Titanic_raw!J409)</f>
        <v>211.5</v>
      </c>
      <c r="M409" t="str">
        <f>Titanic_raw!K409</f>
        <v>C80</v>
      </c>
      <c r="N409" t="str">
        <f>IF(Titanic_raw!L409="S","Southampton",IF(Titanic_raw!L409="Q","Queenstown",IF(Titanic_raw!L409="C","Cherbourg")))</f>
        <v>Cherbourg</v>
      </c>
    </row>
    <row r="410" spans="1:14" x14ac:dyDescent="0.2">
      <c r="A410" s="18">
        <f>Titanic_raw!A410</f>
        <v>1300</v>
      </c>
      <c r="B410" s="17">
        <f>Titanic_raw!B410</f>
        <v>1</v>
      </c>
      <c r="C410" s="17" t="str">
        <f t="shared" si="6"/>
        <v>Survived</v>
      </c>
      <c r="D410" s="17" t="str">
        <f>CONCATENATE(Titanic_raw!C410, " Class")</f>
        <v>3 Class</v>
      </c>
      <c r="E410" s="19" t="str">
        <f>INDEX(tbl_passenger[Full Name],MATCH(A410,tbl_passenger[PassengerId],0))</f>
        <v>Miss. Johanna Hannah"" Riordan</v>
      </c>
      <c r="F410" t="str">
        <f>INDEX(tbl_passenger[Sex],MATCH(A410,tbl_passenger[PassengerId],0))</f>
        <v>Female</v>
      </c>
      <c r="G410" t="str">
        <f>IF(tbl_figures[Age]&lt;20, "Teens (0-19)", IF(tbl_figures[Age] &lt;40, "Youth (20-39)", IF(tbl_figures[Age]&lt;60, "Adult (40-59)", IF(tbl_figures[Age]&gt;=60, "Elders (60-Above)"))))</f>
        <v>Youth (20-39)</v>
      </c>
      <c r="H410" s="25">
        <f>IF(ISBLANK(Titanic_raw!F410),$C$423,Titanic_raw!F410)</f>
        <v>30.272590325616491</v>
      </c>
      <c r="I410">
        <f>Titanic_raw!G410</f>
        <v>0</v>
      </c>
      <c r="J410">
        <f>Titanic_raw!H410</f>
        <v>0</v>
      </c>
      <c r="K410">
        <f>Titanic_raw!I410</f>
        <v>334915</v>
      </c>
      <c r="L410" s="26">
        <f>IF(ISBLANK(Titanic_raw!J410),$C$427,Titanic_raw!J410)</f>
        <v>7.7207999999999997</v>
      </c>
      <c r="M410">
        <f>Titanic_raw!K410</f>
        <v>0</v>
      </c>
      <c r="N410" t="str">
        <f>IF(Titanic_raw!L410="S","Southampton",IF(Titanic_raw!L410="Q","Queenstown",IF(Titanic_raw!L410="C","Cherbourg")))</f>
        <v>Queenstown</v>
      </c>
    </row>
    <row r="411" spans="1:14" x14ac:dyDescent="0.2">
      <c r="A411" s="18">
        <f>Titanic_raw!A411</f>
        <v>1301</v>
      </c>
      <c r="B411" s="21">
        <f>Titanic_raw!B411</f>
        <v>1</v>
      </c>
      <c r="C411" s="21" t="str">
        <f t="shared" si="6"/>
        <v>Survived</v>
      </c>
      <c r="D411" s="21" t="str">
        <f>CONCATENATE(Titanic_raw!C411, " Class")</f>
        <v>3 Class</v>
      </c>
      <c r="E411" s="23" t="str">
        <f>INDEX(tbl_passenger[Full Name],MATCH(A411,tbl_passenger[PassengerId],0))</f>
        <v>Miss. Treasteall Peacock</v>
      </c>
      <c r="F411" t="str">
        <f>INDEX(tbl_passenger[Sex],MATCH(A411,tbl_passenger[PassengerId],0))</f>
        <v>Female</v>
      </c>
      <c r="G411" t="str">
        <f>IF(tbl_figures[Age]&lt;20, "Teens (0-19)", IF(tbl_figures[Age] &lt;40, "Youth (20-39)", IF(tbl_figures[Age]&lt;60, "Adult (40-59)", IF(tbl_figures[Age]&gt;=60, "Elders (60-Above)"))))</f>
        <v>Teens (0-19)</v>
      </c>
      <c r="H411" s="25">
        <f>IF(ISBLANK(Titanic_raw!F411),$C$423,Titanic_raw!F411)</f>
        <v>3</v>
      </c>
      <c r="I411">
        <f>Titanic_raw!G411</f>
        <v>1</v>
      </c>
      <c r="J411">
        <f>Titanic_raw!H411</f>
        <v>1</v>
      </c>
      <c r="K411" t="str">
        <f>Titanic_raw!I411</f>
        <v>SOTON/O.Q. 3101315</v>
      </c>
      <c r="L411" s="26">
        <f>IF(ISBLANK(Titanic_raw!J411),$C$427,Titanic_raw!J411)</f>
        <v>13.775</v>
      </c>
      <c r="M411">
        <f>Titanic_raw!K411</f>
        <v>0</v>
      </c>
      <c r="N411" t="str">
        <f>IF(Titanic_raw!L411="S","Southampton",IF(Titanic_raw!L411="Q","Queenstown",IF(Titanic_raw!L411="C","Cherbourg")))</f>
        <v>Southampton</v>
      </c>
    </row>
    <row r="412" spans="1:14" x14ac:dyDescent="0.2">
      <c r="A412" s="18">
        <f>Titanic_raw!A412</f>
        <v>1302</v>
      </c>
      <c r="B412" s="17">
        <f>Titanic_raw!B412</f>
        <v>1</v>
      </c>
      <c r="C412" s="17" t="str">
        <f t="shared" si="6"/>
        <v>Survived</v>
      </c>
      <c r="D412" s="17" t="str">
        <f>CONCATENATE(Titanic_raw!C412, " Class")</f>
        <v>3 Class</v>
      </c>
      <c r="E412" s="19" t="str">
        <f>INDEX(tbl_passenger[Full Name],MATCH(A412,tbl_passenger[PassengerId],0))</f>
        <v>Miss. Hannah Naughton</v>
      </c>
      <c r="F412" t="str">
        <f>INDEX(tbl_passenger[Sex],MATCH(A412,tbl_passenger[PassengerId],0))</f>
        <v>Female</v>
      </c>
      <c r="G412" t="str">
        <f>IF(tbl_figures[Age]&lt;20, "Teens (0-19)", IF(tbl_figures[Age] &lt;40, "Youth (20-39)", IF(tbl_figures[Age]&lt;60, "Adult (40-59)", IF(tbl_figures[Age]&gt;=60, "Elders (60-Above)"))))</f>
        <v>Youth (20-39)</v>
      </c>
      <c r="H412" s="25">
        <f>IF(ISBLANK(Titanic_raw!F412),$C$423,Titanic_raw!F412)</f>
        <v>30.272590325616491</v>
      </c>
      <c r="I412">
        <f>Titanic_raw!G412</f>
        <v>0</v>
      </c>
      <c r="J412">
        <f>Titanic_raw!H412</f>
        <v>0</v>
      </c>
      <c r="K412">
        <f>Titanic_raw!I412</f>
        <v>365237</v>
      </c>
      <c r="L412" s="26">
        <f>IF(ISBLANK(Titanic_raw!J412),$C$427,Titanic_raw!J412)</f>
        <v>7.75</v>
      </c>
      <c r="M412">
        <f>Titanic_raw!K412</f>
        <v>0</v>
      </c>
      <c r="N412" t="str">
        <f>IF(Titanic_raw!L412="S","Southampton",IF(Titanic_raw!L412="Q","Queenstown",IF(Titanic_raw!L412="C","Cherbourg")))</f>
        <v>Queenstown</v>
      </c>
    </row>
    <row r="413" spans="1:14" x14ac:dyDescent="0.2">
      <c r="A413" s="18">
        <f>Titanic_raw!A413</f>
        <v>1303</v>
      </c>
      <c r="B413" s="21">
        <f>Titanic_raw!B413</f>
        <v>1</v>
      </c>
      <c r="C413" s="21" t="str">
        <f t="shared" si="6"/>
        <v>Survived</v>
      </c>
      <c r="D413" s="21" t="str">
        <f>CONCATENATE(Titanic_raw!C413, " Class")</f>
        <v>1 Class</v>
      </c>
      <c r="E413" s="23" t="str">
        <f>INDEX(tbl_passenger[Full Name],MATCH(A413,tbl_passenger[PassengerId],0))</f>
        <v>Mrs. William Edward (Lillian E Thorpe) Minahan</v>
      </c>
      <c r="F413" t="str">
        <f>INDEX(tbl_passenger[Sex],MATCH(A413,tbl_passenger[PassengerId],0))</f>
        <v>Female</v>
      </c>
      <c r="G413" t="str">
        <f>IF(tbl_figures[Age]&lt;20, "Teens (0-19)", IF(tbl_figures[Age] &lt;40, "Youth (20-39)", IF(tbl_figures[Age]&lt;60, "Adult (40-59)", IF(tbl_figures[Age]&gt;=60, "Elders (60-Above)"))))</f>
        <v>Youth (20-39)</v>
      </c>
      <c r="H413" s="25">
        <f>IF(ISBLANK(Titanic_raw!F413),$C$423,Titanic_raw!F413)</f>
        <v>37</v>
      </c>
      <c r="I413">
        <f>Titanic_raw!G413</f>
        <v>1</v>
      </c>
      <c r="J413">
        <f>Titanic_raw!H413</f>
        <v>0</v>
      </c>
      <c r="K413">
        <f>Titanic_raw!I413</f>
        <v>19928</v>
      </c>
      <c r="L413" s="26">
        <f>IF(ISBLANK(Titanic_raw!J413),$C$427,Titanic_raw!J413)</f>
        <v>90</v>
      </c>
      <c r="M413" t="str">
        <f>Titanic_raw!K413</f>
        <v>C78</v>
      </c>
      <c r="N413" t="str">
        <f>IF(Titanic_raw!L413="S","Southampton",IF(Titanic_raw!L413="Q","Queenstown",IF(Titanic_raw!L413="C","Cherbourg")))</f>
        <v>Queenstown</v>
      </c>
    </row>
    <row r="414" spans="1:14" x14ac:dyDescent="0.2">
      <c r="A414" s="18">
        <f>Titanic_raw!A414</f>
        <v>1304</v>
      </c>
      <c r="B414" s="17">
        <f>Titanic_raw!B414</f>
        <v>1</v>
      </c>
      <c r="C414" s="17" t="str">
        <f t="shared" si="6"/>
        <v>Survived</v>
      </c>
      <c r="D414" s="17" t="str">
        <f>CONCATENATE(Titanic_raw!C414, " Class")</f>
        <v>3 Class</v>
      </c>
      <c r="E414" s="19" t="str">
        <f>INDEX(tbl_passenger[Full Name],MATCH(A414,tbl_passenger[PassengerId],0))</f>
        <v>Miss. Jenny Lovisa Henriksson</v>
      </c>
      <c r="F414" t="str">
        <f>INDEX(tbl_passenger[Sex],MATCH(A414,tbl_passenger[PassengerId],0))</f>
        <v>Female</v>
      </c>
      <c r="G414" t="str">
        <f>IF(tbl_figures[Age]&lt;20, "Teens (0-19)", IF(tbl_figures[Age] &lt;40, "Youth (20-39)", IF(tbl_figures[Age]&lt;60, "Adult (40-59)", IF(tbl_figures[Age]&gt;=60, "Elders (60-Above)"))))</f>
        <v>Youth (20-39)</v>
      </c>
      <c r="H414" s="25">
        <f>IF(ISBLANK(Titanic_raw!F414),$C$423,Titanic_raw!F414)</f>
        <v>28</v>
      </c>
      <c r="I414">
        <f>Titanic_raw!G414</f>
        <v>0</v>
      </c>
      <c r="J414">
        <f>Titanic_raw!H414</f>
        <v>0</v>
      </c>
      <c r="K414">
        <f>Titanic_raw!I414</f>
        <v>347086</v>
      </c>
      <c r="L414" s="26">
        <f>IF(ISBLANK(Titanic_raw!J414),$C$427,Titanic_raw!J414)</f>
        <v>7.7750000000000004</v>
      </c>
      <c r="M414">
        <f>Titanic_raw!K414</f>
        <v>0</v>
      </c>
      <c r="N414" t="str">
        <f>IF(Titanic_raw!L414="S","Southampton",IF(Titanic_raw!L414="Q","Queenstown",IF(Titanic_raw!L414="C","Cherbourg")))</f>
        <v>Southampton</v>
      </c>
    </row>
    <row r="415" spans="1:14" x14ac:dyDescent="0.2">
      <c r="A415" s="18">
        <f>Titanic_raw!A415</f>
        <v>1305</v>
      </c>
      <c r="B415" s="21">
        <f>Titanic_raw!B415</f>
        <v>0</v>
      </c>
      <c r="C415" s="21" t="str">
        <f t="shared" si="6"/>
        <v>Dead</v>
      </c>
      <c r="D415" s="21" t="str">
        <f>CONCATENATE(Titanic_raw!C415, " Class")</f>
        <v>3 Class</v>
      </c>
      <c r="E415" s="23" t="str">
        <f>INDEX(tbl_passenger[Full Name],MATCH(A415,tbl_passenger[PassengerId],0))</f>
        <v>Mr. Woolf Spector</v>
      </c>
      <c r="F415" t="str">
        <f>INDEX(tbl_passenger[Sex],MATCH(A415,tbl_passenger[PassengerId],0))</f>
        <v>Male</v>
      </c>
      <c r="G415" t="str">
        <f>IF(tbl_figures[Age]&lt;20, "Teens (0-19)", IF(tbl_figures[Age] &lt;40, "Youth (20-39)", IF(tbl_figures[Age]&lt;60, "Adult (40-59)", IF(tbl_figures[Age]&gt;=60, "Elders (60-Above)"))))</f>
        <v>Youth (20-39)</v>
      </c>
      <c r="H415" s="25">
        <f>IF(ISBLANK(Titanic_raw!F415),$C$423,Titanic_raw!F415)</f>
        <v>30.272590325616491</v>
      </c>
      <c r="I415">
        <f>Titanic_raw!G415</f>
        <v>0</v>
      </c>
      <c r="J415">
        <f>Titanic_raw!H415</f>
        <v>0</v>
      </c>
      <c r="K415" t="str">
        <f>Titanic_raw!I415</f>
        <v>A.5. 3236</v>
      </c>
      <c r="L415" s="26">
        <f>IF(ISBLANK(Titanic_raw!J415),$C$427,Titanic_raw!J415)</f>
        <v>8.0500000000000007</v>
      </c>
      <c r="M415">
        <f>Titanic_raw!K415</f>
        <v>0</v>
      </c>
      <c r="N415" t="str">
        <f>IF(Titanic_raw!L415="S","Southampton",IF(Titanic_raw!L415="Q","Queenstown",IF(Titanic_raw!L415="C","Cherbourg")))</f>
        <v>Southampton</v>
      </c>
    </row>
    <row r="416" spans="1:14" x14ac:dyDescent="0.2">
      <c r="A416" s="18">
        <f>Titanic_raw!A416</f>
        <v>1306</v>
      </c>
      <c r="B416" s="17">
        <f>Titanic_raw!B416</f>
        <v>1</v>
      </c>
      <c r="C416" s="17" t="str">
        <f t="shared" si="6"/>
        <v>Survived</v>
      </c>
      <c r="D416" s="17" t="str">
        <f>CONCATENATE(Titanic_raw!C416, " Class")</f>
        <v>1 Class</v>
      </c>
      <c r="E416" s="19" t="str">
        <f>INDEX(tbl_passenger[Full Name],MATCH(A416,tbl_passenger[PassengerId],0))</f>
        <v>Dona. Fermina Oliva y Ocana</v>
      </c>
      <c r="F416" t="str">
        <f>INDEX(tbl_passenger[Sex],MATCH(A416,tbl_passenger[PassengerId],0))</f>
        <v>Female</v>
      </c>
      <c r="G416" t="str">
        <f>IF(tbl_figures[Age]&lt;20, "Teens (0-19)", IF(tbl_figures[Age] &lt;40, "Youth (20-39)", IF(tbl_figures[Age]&lt;60, "Adult (40-59)", IF(tbl_figures[Age]&gt;=60, "Elders (60-Above)"))))</f>
        <v>Youth (20-39)</v>
      </c>
      <c r="H416" s="25">
        <f>IF(ISBLANK(Titanic_raw!F416),$C$423,Titanic_raw!F416)</f>
        <v>39</v>
      </c>
      <c r="I416">
        <f>Titanic_raw!G416</f>
        <v>0</v>
      </c>
      <c r="J416">
        <f>Titanic_raw!H416</f>
        <v>0</v>
      </c>
      <c r="K416" t="str">
        <f>Titanic_raw!I416</f>
        <v>PC 17758</v>
      </c>
      <c r="L416" s="26">
        <f>IF(ISBLANK(Titanic_raw!J416),$C$427,Titanic_raw!J416)</f>
        <v>108.9</v>
      </c>
      <c r="M416" t="str">
        <f>Titanic_raw!K416</f>
        <v>C105</v>
      </c>
      <c r="N416" t="str">
        <f>IF(Titanic_raw!L416="S","Southampton",IF(Titanic_raw!L416="Q","Queenstown",IF(Titanic_raw!L416="C","Cherbourg")))</f>
        <v>Cherbourg</v>
      </c>
    </row>
    <row r="417" spans="1:14" x14ac:dyDescent="0.2">
      <c r="A417" s="18">
        <f>Titanic_raw!A417</f>
        <v>1307</v>
      </c>
      <c r="B417" s="21">
        <f>Titanic_raw!B417</f>
        <v>0</v>
      </c>
      <c r="C417" s="21" t="str">
        <f t="shared" si="6"/>
        <v>Dead</v>
      </c>
      <c r="D417" s="21" t="str">
        <f>CONCATENATE(Titanic_raw!C417, " Class")</f>
        <v>3 Class</v>
      </c>
      <c r="E417" s="23" t="str">
        <f>INDEX(tbl_passenger[Full Name],MATCH(A417,tbl_passenger[PassengerId],0))</f>
        <v>Mr. Simon Sivertsen Saether</v>
      </c>
      <c r="F417" t="str">
        <f>INDEX(tbl_passenger[Sex],MATCH(A417,tbl_passenger[PassengerId],0))</f>
        <v>Male</v>
      </c>
      <c r="G417" t="str">
        <f>IF(tbl_figures[Age]&lt;20, "Teens (0-19)", IF(tbl_figures[Age] &lt;40, "Youth (20-39)", IF(tbl_figures[Age]&lt;60, "Adult (40-59)", IF(tbl_figures[Age]&gt;=60, "Elders (60-Above)"))))</f>
        <v>Youth (20-39)</v>
      </c>
      <c r="H417" s="25">
        <f>IF(ISBLANK(Titanic_raw!F417),$C$423,Titanic_raw!F417)</f>
        <v>38.5</v>
      </c>
      <c r="I417">
        <f>Titanic_raw!G417</f>
        <v>0</v>
      </c>
      <c r="J417">
        <f>Titanic_raw!H417</f>
        <v>0</v>
      </c>
      <c r="K417" t="str">
        <f>Titanic_raw!I417</f>
        <v>SOTON/O.Q. 3101262</v>
      </c>
      <c r="L417" s="26">
        <f>IF(ISBLANK(Titanic_raw!J417),$C$427,Titanic_raw!J417)</f>
        <v>7.25</v>
      </c>
      <c r="M417">
        <f>Titanic_raw!K417</f>
        <v>0</v>
      </c>
      <c r="N417" t="str">
        <f>IF(Titanic_raw!L417="S","Southampton",IF(Titanic_raw!L417="Q","Queenstown",IF(Titanic_raw!L417="C","Cherbourg")))</f>
        <v>Southampton</v>
      </c>
    </row>
    <row r="418" spans="1:14" x14ac:dyDescent="0.2">
      <c r="A418" s="18">
        <f>Titanic_raw!A418</f>
        <v>1308</v>
      </c>
      <c r="B418" s="17">
        <f>Titanic_raw!B418</f>
        <v>0</v>
      </c>
      <c r="C418" s="17" t="str">
        <f t="shared" si="6"/>
        <v>Dead</v>
      </c>
      <c r="D418" s="17" t="str">
        <f>CONCATENATE(Titanic_raw!C418, " Class")</f>
        <v>3 Class</v>
      </c>
      <c r="E418" s="19" t="str">
        <f>INDEX(tbl_passenger[Full Name],MATCH(A418,tbl_passenger[PassengerId],0))</f>
        <v>Mr. Frederick Ware</v>
      </c>
      <c r="F418" t="str">
        <f>INDEX(tbl_passenger[Sex],MATCH(A418,tbl_passenger[PassengerId],0))</f>
        <v>Male</v>
      </c>
      <c r="G418" t="str">
        <f>IF(tbl_figures[Age]&lt;20, "Teens (0-19)", IF(tbl_figures[Age] &lt;40, "Youth (20-39)", IF(tbl_figures[Age]&lt;60, "Adult (40-59)", IF(tbl_figures[Age]&gt;=60, "Elders (60-Above)"))))</f>
        <v>Youth (20-39)</v>
      </c>
      <c r="H418" s="25">
        <f>IF(ISBLANK(Titanic_raw!F418),$C$423,Titanic_raw!F418)</f>
        <v>30.272590325616491</v>
      </c>
      <c r="I418">
        <f>Titanic_raw!G418</f>
        <v>0</v>
      </c>
      <c r="J418">
        <f>Titanic_raw!H418</f>
        <v>0</v>
      </c>
      <c r="K418">
        <f>Titanic_raw!I418</f>
        <v>359309</v>
      </c>
      <c r="L418" s="26">
        <f>IF(ISBLANK(Titanic_raw!J418),$C$427,Titanic_raw!J418)</f>
        <v>8.0500000000000007</v>
      </c>
      <c r="M418">
        <f>Titanic_raw!K418</f>
        <v>0</v>
      </c>
      <c r="N418" t="str">
        <f>IF(Titanic_raw!L418="S","Southampton",IF(Titanic_raw!L418="Q","Queenstown",IF(Titanic_raw!L418="C","Cherbourg")))</f>
        <v>Southampton</v>
      </c>
    </row>
    <row r="419" spans="1:14" x14ac:dyDescent="0.2">
      <c r="A419" s="18">
        <f>Titanic_raw!A419</f>
        <v>1309</v>
      </c>
      <c r="B419" s="9">
        <f>Titanic_raw!B419</f>
        <v>0</v>
      </c>
      <c r="C419" s="9" t="str">
        <f t="shared" si="6"/>
        <v>Dead</v>
      </c>
      <c r="D419" s="9" t="str">
        <f>CONCATENATE(Titanic_raw!C419, " Class")</f>
        <v>3 Class</v>
      </c>
      <c r="E419" s="10" t="str">
        <f>INDEX(tbl_passenger[Full Name],MATCH(A419,tbl_passenger[PassengerId],0))</f>
        <v>Master. Michael J Peter</v>
      </c>
      <c r="F419" t="str">
        <f>INDEX(tbl_passenger[Sex],MATCH(A419,tbl_passenger[PassengerId],0))</f>
        <v>Male</v>
      </c>
      <c r="G419" t="str">
        <f>IF(tbl_figures[Age]&lt;20, "Teens (0-19)", IF(tbl_figures[Age] &lt;40, "Youth (20-39)", IF(tbl_figures[Age]&lt;60, "Adult (40-59)", IF(tbl_figures[Age]&gt;=60, "Elders (60-Above)"))))</f>
        <v>Youth (20-39)</v>
      </c>
      <c r="H419" s="25">
        <f>IF(ISBLANK(Titanic_raw!F419),$C$423,Titanic_raw!F419)</f>
        <v>30.272590325616491</v>
      </c>
      <c r="I419">
        <f>Titanic_raw!G419</f>
        <v>1</v>
      </c>
      <c r="J419">
        <f>Titanic_raw!H419</f>
        <v>1</v>
      </c>
      <c r="K419">
        <f>Titanic_raw!I419</f>
        <v>2668</v>
      </c>
      <c r="L419" s="26">
        <f>IF(ISBLANK(Titanic_raw!J419),$C$427,Titanic_raw!J419)</f>
        <v>22.3583</v>
      </c>
      <c r="M419">
        <f>Titanic_raw!K419</f>
        <v>0</v>
      </c>
      <c r="N419" t="str">
        <f>IF(Titanic_raw!L419="S","Southampton",IF(Titanic_raw!L419="Q","Queenstown",IF(Titanic_raw!L419="C","Cherbourg")))</f>
        <v>Cherbourg</v>
      </c>
    </row>
    <row r="421" spans="1:14" x14ac:dyDescent="0.2">
      <c r="A421" s="36" t="s">
        <v>3</v>
      </c>
      <c r="B421" s="37"/>
      <c r="C421" s="37"/>
      <c r="D421" s="38"/>
    </row>
    <row r="422" spans="1:14" x14ac:dyDescent="0.2">
      <c r="A422" s="29" t="s">
        <v>662</v>
      </c>
      <c r="B422" s="29" t="s">
        <v>661</v>
      </c>
      <c r="C422" s="29" t="s">
        <v>660</v>
      </c>
      <c r="D422" s="29" t="s">
        <v>659</v>
      </c>
    </row>
    <row r="423" spans="1:14" x14ac:dyDescent="0.2">
      <c r="A423" s="33">
        <v>0.17</v>
      </c>
      <c r="B423" s="33">
        <v>76</v>
      </c>
      <c r="C423" s="34">
        <v>30.272590325616491</v>
      </c>
      <c r="D423" s="34">
        <v>12653.942756107694</v>
      </c>
    </row>
    <row r="425" spans="1:14" x14ac:dyDescent="0.2">
      <c r="A425" s="36" t="s">
        <v>663</v>
      </c>
      <c r="B425" s="37"/>
      <c r="C425" s="37"/>
      <c r="D425" s="38"/>
    </row>
    <row r="426" spans="1:14" x14ac:dyDescent="0.2">
      <c r="A426" s="29" t="s">
        <v>649</v>
      </c>
      <c r="B426" s="29" t="s">
        <v>648</v>
      </c>
      <c r="C426" s="29" t="s">
        <v>647</v>
      </c>
      <c r="D426" s="29" t="s">
        <v>632</v>
      </c>
    </row>
    <row r="427" spans="1:14" x14ac:dyDescent="0.2">
      <c r="A427" s="35">
        <v>0</v>
      </c>
      <c r="B427" s="39">
        <v>512.32920000000001</v>
      </c>
      <c r="C427" s="39">
        <v>35.627188489208599</v>
      </c>
      <c r="D427" s="39">
        <v>14892.164788489195</v>
      </c>
    </row>
  </sheetData>
  <pageMargins left="0.7" right="0.7" top="0.75" bottom="0.75" header="0.3" footer="0.3"/>
  <pageSetup paperSize="9" orientation="portrait" r:id="rId21"/>
  <drawing r:id="rId22"/>
  <tableParts count="1">
    <tablePart r:id="rId2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52814-4CFF-4F0D-9470-AB8AE13E63D4}">
  <dimension ref="A1:G419"/>
  <sheetViews>
    <sheetView topLeftCell="F1" workbookViewId="0">
      <selection activeCell="G3" sqref="G3"/>
    </sheetView>
  </sheetViews>
  <sheetFormatPr defaultRowHeight="14.25" x14ac:dyDescent="0.2"/>
  <cols>
    <col min="1" max="1" width="13.44140625" customWidth="1"/>
    <col min="2" max="2" width="56.44140625" bestFit="1" customWidth="1"/>
    <col min="3" max="3" width="56.44140625" customWidth="1"/>
    <col min="4" max="4" width="56.44140625" style="7" customWidth="1"/>
    <col min="5" max="6" width="56.44140625" customWidth="1"/>
  </cols>
  <sheetData>
    <row r="1" spans="1:7" x14ac:dyDescent="0.2">
      <c r="A1" t="s">
        <v>0</v>
      </c>
      <c r="B1" s="11" t="s">
        <v>608</v>
      </c>
      <c r="C1" s="12" t="s">
        <v>619</v>
      </c>
      <c r="D1" s="13" t="s">
        <v>629</v>
      </c>
      <c r="E1" s="14" t="s">
        <v>620</v>
      </c>
      <c r="F1" s="14" t="s">
        <v>618</v>
      </c>
      <c r="G1" s="14" t="s">
        <v>607</v>
      </c>
    </row>
    <row r="2" spans="1:7" x14ac:dyDescent="0.2">
      <c r="A2" s="7">
        <f>Titanic_raw!A2</f>
        <v>892</v>
      </c>
      <c r="B2" s="16" t="str">
        <f>Titanic_raw!D2</f>
        <v>Kelly, Mr. James</v>
      </c>
      <c r="C2" s="17" t="s">
        <v>609</v>
      </c>
      <c r="D2" s="18" t="str">
        <f>RIGHT(B2,LEN(B2)-FIND(".",B2)-1)</f>
        <v>James</v>
      </c>
      <c r="E2" s="17" t="str">
        <f>LEFT(B2,FIND(",",B2)-1)</f>
        <v>Kelly</v>
      </c>
      <c r="F2" s="17" t="str">
        <f>CONCATENATE(C2," ",D2," ",E2)</f>
        <v>Mr. James Kelly</v>
      </c>
      <c r="G2" s="17" t="str">
        <f>PROPER(Titanic_raw!E2)</f>
        <v>Male</v>
      </c>
    </row>
    <row r="3" spans="1:7" x14ac:dyDescent="0.2">
      <c r="A3" s="7">
        <f>Titanic_raw!A3</f>
        <v>893</v>
      </c>
      <c r="B3" s="20" t="str">
        <f>Titanic_raw!D3</f>
        <v>Wilkes, Mrs. James (Ellen Needs)</v>
      </c>
      <c r="C3" s="21" t="s">
        <v>610</v>
      </c>
      <c r="D3" s="22" t="str">
        <f t="shared" ref="D3:D66" si="0">RIGHT(B3,LEN(B3)-FIND(".",B3)-1)</f>
        <v>James (Ellen Needs)</v>
      </c>
      <c r="E3" s="21" t="str">
        <f t="shared" ref="E3:E66" si="1">LEFT(B3,FIND(",",B3)-1)</f>
        <v>Wilkes</v>
      </c>
      <c r="F3" s="21" t="str">
        <f t="shared" ref="F3:F66" si="2">CONCATENATE(C3," ",D3," ",E3)</f>
        <v>Mrs. James (Ellen Needs) Wilkes</v>
      </c>
      <c r="G3" s="21" t="str">
        <f>PROPER(Titanic_raw!E3)</f>
        <v>Female</v>
      </c>
    </row>
    <row r="4" spans="1:7" x14ac:dyDescent="0.2">
      <c r="A4" s="7">
        <f>Titanic_raw!A4</f>
        <v>894</v>
      </c>
      <c r="B4" s="16" t="str">
        <f>Titanic_raw!D4</f>
        <v>Myles, Mr. Thomas Francis</v>
      </c>
      <c r="C4" s="17" t="s">
        <v>609</v>
      </c>
      <c r="D4" s="18" t="str">
        <f t="shared" si="0"/>
        <v>Thomas Francis</v>
      </c>
      <c r="E4" s="17" t="str">
        <f t="shared" si="1"/>
        <v>Myles</v>
      </c>
      <c r="F4" s="17" t="str">
        <f t="shared" si="2"/>
        <v>Mr. Thomas Francis Myles</v>
      </c>
      <c r="G4" s="17" t="str">
        <f>PROPER(Titanic_raw!E4)</f>
        <v>Male</v>
      </c>
    </row>
    <row r="5" spans="1:7" x14ac:dyDescent="0.2">
      <c r="A5" s="7">
        <f>Titanic_raw!A5</f>
        <v>895</v>
      </c>
      <c r="B5" s="20" t="str">
        <f>Titanic_raw!D5</f>
        <v>Wirz, Mr. Albert</v>
      </c>
      <c r="C5" s="21" t="s">
        <v>609</v>
      </c>
      <c r="D5" s="22" t="str">
        <f t="shared" si="0"/>
        <v>Albert</v>
      </c>
      <c r="E5" s="21" t="str">
        <f t="shared" si="1"/>
        <v>Wirz</v>
      </c>
      <c r="F5" s="21" t="str">
        <f t="shared" si="2"/>
        <v>Mr. Albert Wirz</v>
      </c>
      <c r="G5" s="21" t="str">
        <f>PROPER(Titanic_raw!E5)</f>
        <v>Male</v>
      </c>
    </row>
    <row r="6" spans="1:7" x14ac:dyDescent="0.2">
      <c r="A6" s="7">
        <f>Titanic_raw!A6</f>
        <v>896</v>
      </c>
      <c r="B6" s="16" t="str">
        <f>Titanic_raw!D6</f>
        <v>Hirvonen, Mrs. Alexander (Helga E Lindqvist)</v>
      </c>
      <c r="C6" s="17" t="s">
        <v>610</v>
      </c>
      <c r="D6" s="18" t="str">
        <f t="shared" si="0"/>
        <v>Alexander (Helga E Lindqvist)</v>
      </c>
      <c r="E6" s="17" t="str">
        <f t="shared" si="1"/>
        <v>Hirvonen</v>
      </c>
      <c r="F6" s="17" t="str">
        <f t="shared" si="2"/>
        <v>Mrs. Alexander (Helga E Lindqvist) Hirvonen</v>
      </c>
      <c r="G6" s="17" t="str">
        <f>PROPER(Titanic_raw!E6)</f>
        <v>Female</v>
      </c>
    </row>
    <row r="7" spans="1:7" x14ac:dyDescent="0.2">
      <c r="A7" s="7">
        <f>Titanic_raw!A7</f>
        <v>897</v>
      </c>
      <c r="B7" s="20" t="str">
        <f>Titanic_raw!D7</f>
        <v>Svensson, Mr. Johan Cervin</v>
      </c>
      <c r="C7" s="21" t="s">
        <v>609</v>
      </c>
      <c r="D7" s="22" t="str">
        <f t="shared" si="0"/>
        <v>Johan Cervin</v>
      </c>
      <c r="E7" s="21" t="str">
        <f t="shared" si="1"/>
        <v>Svensson</v>
      </c>
      <c r="F7" s="21" t="str">
        <f t="shared" si="2"/>
        <v>Mr. Johan Cervin Svensson</v>
      </c>
      <c r="G7" s="21" t="str">
        <f>PROPER(Titanic_raw!E7)</f>
        <v>Male</v>
      </c>
    </row>
    <row r="8" spans="1:7" x14ac:dyDescent="0.2">
      <c r="A8" s="7">
        <f>Titanic_raw!A8</f>
        <v>898</v>
      </c>
      <c r="B8" s="16" t="str">
        <f>Titanic_raw!D8</f>
        <v>Connolly, Miss. Kate</v>
      </c>
      <c r="C8" s="17" t="s">
        <v>611</v>
      </c>
      <c r="D8" s="18" t="str">
        <f t="shared" si="0"/>
        <v>Kate</v>
      </c>
      <c r="E8" s="17" t="str">
        <f t="shared" si="1"/>
        <v>Connolly</v>
      </c>
      <c r="F8" s="17" t="str">
        <f t="shared" si="2"/>
        <v>Miss. Kate Connolly</v>
      </c>
      <c r="G8" s="17" t="str">
        <f>PROPER(Titanic_raw!E8)</f>
        <v>Female</v>
      </c>
    </row>
    <row r="9" spans="1:7" x14ac:dyDescent="0.2">
      <c r="A9" s="7">
        <f>Titanic_raw!A9</f>
        <v>899</v>
      </c>
      <c r="B9" s="20" t="str">
        <f>Titanic_raw!D9</f>
        <v>Caldwell, Mr. Albert Francis</v>
      </c>
      <c r="C9" s="21" t="s">
        <v>609</v>
      </c>
      <c r="D9" s="22" t="str">
        <f t="shared" si="0"/>
        <v>Albert Francis</v>
      </c>
      <c r="E9" s="21" t="str">
        <f t="shared" si="1"/>
        <v>Caldwell</v>
      </c>
      <c r="F9" s="21" t="str">
        <f t="shared" si="2"/>
        <v>Mr. Albert Francis Caldwell</v>
      </c>
      <c r="G9" s="21" t="str">
        <f>PROPER(Titanic_raw!E9)</f>
        <v>Male</v>
      </c>
    </row>
    <row r="10" spans="1:7" x14ac:dyDescent="0.2">
      <c r="A10" s="7">
        <f>Titanic_raw!A10</f>
        <v>900</v>
      </c>
      <c r="B10" s="16" t="str">
        <f>Titanic_raw!D10</f>
        <v>Abrahim, Mrs. Joseph (Sophie Halaut Easu)</v>
      </c>
      <c r="C10" s="17" t="s">
        <v>610</v>
      </c>
      <c r="D10" s="18" t="str">
        <f t="shared" si="0"/>
        <v>Joseph (Sophie Halaut Easu)</v>
      </c>
      <c r="E10" s="17" t="str">
        <f t="shared" si="1"/>
        <v>Abrahim</v>
      </c>
      <c r="F10" s="17" t="str">
        <f t="shared" si="2"/>
        <v>Mrs. Joseph (Sophie Halaut Easu) Abrahim</v>
      </c>
      <c r="G10" s="17" t="str">
        <f>PROPER(Titanic_raw!E10)</f>
        <v>Female</v>
      </c>
    </row>
    <row r="11" spans="1:7" x14ac:dyDescent="0.2">
      <c r="A11" s="7">
        <f>Titanic_raw!A11</f>
        <v>901</v>
      </c>
      <c r="B11" s="20" t="str">
        <f>Titanic_raw!D11</f>
        <v>Davies, Mr. John Samuel</v>
      </c>
      <c r="C11" s="21" t="s">
        <v>609</v>
      </c>
      <c r="D11" s="22" t="str">
        <f t="shared" si="0"/>
        <v>John Samuel</v>
      </c>
      <c r="E11" s="21" t="str">
        <f t="shared" si="1"/>
        <v>Davies</v>
      </c>
      <c r="F11" s="21" t="str">
        <f t="shared" si="2"/>
        <v>Mr. John Samuel Davies</v>
      </c>
      <c r="G11" s="21" t="str">
        <f>PROPER(Titanic_raw!E11)</f>
        <v>Male</v>
      </c>
    </row>
    <row r="12" spans="1:7" x14ac:dyDescent="0.2">
      <c r="A12" s="7">
        <f>Titanic_raw!A12</f>
        <v>902</v>
      </c>
      <c r="B12" s="16" t="str">
        <f>Titanic_raw!D12</f>
        <v>Ilieff, Mr. Ylio</v>
      </c>
      <c r="C12" s="17" t="s">
        <v>609</v>
      </c>
      <c r="D12" s="18" t="str">
        <f t="shared" si="0"/>
        <v>Ylio</v>
      </c>
      <c r="E12" s="17" t="str">
        <f t="shared" si="1"/>
        <v>Ilieff</v>
      </c>
      <c r="F12" s="17" t="str">
        <f t="shared" si="2"/>
        <v>Mr. Ylio Ilieff</v>
      </c>
      <c r="G12" s="17" t="str">
        <f>PROPER(Titanic_raw!E12)</f>
        <v>Male</v>
      </c>
    </row>
    <row r="13" spans="1:7" x14ac:dyDescent="0.2">
      <c r="A13" s="7">
        <f>Titanic_raw!A13</f>
        <v>903</v>
      </c>
      <c r="B13" s="20" t="str">
        <f>Titanic_raw!D13</f>
        <v>Jones, Mr. Charles Cresson</v>
      </c>
      <c r="C13" s="21" t="s">
        <v>609</v>
      </c>
      <c r="D13" s="22" t="str">
        <f t="shared" si="0"/>
        <v>Charles Cresson</v>
      </c>
      <c r="E13" s="21" t="str">
        <f t="shared" si="1"/>
        <v>Jones</v>
      </c>
      <c r="F13" s="21" t="str">
        <f t="shared" si="2"/>
        <v>Mr. Charles Cresson Jones</v>
      </c>
      <c r="G13" s="21" t="str">
        <f>PROPER(Titanic_raw!E13)</f>
        <v>Male</v>
      </c>
    </row>
    <row r="14" spans="1:7" x14ac:dyDescent="0.2">
      <c r="A14" s="7">
        <f>Titanic_raw!A14</f>
        <v>904</v>
      </c>
      <c r="B14" s="16" t="str">
        <f>Titanic_raw!D14</f>
        <v>Snyder, Mrs. John Pillsbury (Nelle Stevenson)</v>
      </c>
      <c r="C14" s="17" t="s">
        <v>610</v>
      </c>
      <c r="D14" s="18" t="str">
        <f t="shared" si="0"/>
        <v>John Pillsbury (Nelle Stevenson)</v>
      </c>
      <c r="E14" s="17" t="str">
        <f t="shared" si="1"/>
        <v>Snyder</v>
      </c>
      <c r="F14" s="17" t="str">
        <f t="shared" si="2"/>
        <v>Mrs. John Pillsbury (Nelle Stevenson) Snyder</v>
      </c>
      <c r="G14" s="17" t="str">
        <f>PROPER(Titanic_raw!E14)</f>
        <v>Female</v>
      </c>
    </row>
    <row r="15" spans="1:7" x14ac:dyDescent="0.2">
      <c r="A15" s="7">
        <f>Titanic_raw!A15</f>
        <v>905</v>
      </c>
      <c r="B15" s="20" t="str">
        <f>Titanic_raw!D15</f>
        <v>Howard, Mr. Benjamin</v>
      </c>
      <c r="C15" s="21" t="s">
        <v>609</v>
      </c>
      <c r="D15" s="22" t="str">
        <f t="shared" si="0"/>
        <v>Benjamin</v>
      </c>
      <c r="E15" s="21" t="str">
        <f t="shared" si="1"/>
        <v>Howard</v>
      </c>
      <c r="F15" s="21" t="str">
        <f t="shared" si="2"/>
        <v>Mr. Benjamin Howard</v>
      </c>
      <c r="G15" s="21" t="str">
        <f>PROPER(Titanic_raw!E15)</f>
        <v>Male</v>
      </c>
    </row>
    <row r="16" spans="1:7" x14ac:dyDescent="0.2">
      <c r="A16" s="7">
        <f>Titanic_raw!A16</f>
        <v>906</v>
      </c>
      <c r="B16" s="16" t="str">
        <f>Titanic_raw!D16</f>
        <v>Chaffee, Mrs. Herbert Fuller (Carrie Constance Toogood)</v>
      </c>
      <c r="C16" s="17" t="s">
        <v>610</v>
      </c>
      <c r="D16" s="18" t="str">
        <f t="shared" si="0"/>
        <v>Herbert Fuller (Carrie Constance Toogood)</v>
      </c>
      <c r="E16" s="17" t="str">
        <f t="shared" si="1"/>
        <v>Chaffee</v>
      </c>
      <c r="F16" s="17" t="str">
        <f t="shared" si="2"/>
        <v>Mrs. Herbert Fuller (Carrie Constance Toogood) Chaffee</v>
      </c>
      <c r="G16" s="17" t="str">
        <f>PROPER(Titanic_raw!E16)</f>
        <v>Female</v>
      </c>
    </row>
    <row r="17" spans="1:7" x14ac:dyDescent="0.2">
      <c r="A17" s="7">
        <f>Titanic_raw!A17</f>
        <v>907</v>
      </c>
      <c r="B17" s="20" t="str">
        <f>Titanic_raw!D17</f>
        <v>del Carlo, Mrs. Sebastiano (Argenia Genovesi)</v>
      </c>
      <c r="C17" s="21" t="s">
        <v>610</v>
      </c>
      <c r="D17" s="22" t="str">
        <f t="shared" si="0"/>
        <v>Sebastiano (Argenia Genovesi)</v>
      </c>
      <c r="E17" s="21" t="str">
        <f t="shared" si="1"/>
        <v>del Carlo</v>
      </c>
      <c r="F17" s="21" t="str">
        <f t="shared" si="2"/>
        <v>Mrs. Sebastiano (Argenia Genovesi) del Carlo</v>
      </c>
      <c r="G17" s="21" t="str">
        <f>PROPER(Titanic_raw!E17)</f>
        <v>Female</v>
      </c>
    </row>
    <row r="18" spans="1:7" x14ac:dyDescent="0.2">
      <c r="A18" s="7">
        <f>Titanic_raw!A18</f>
        <v>908</v>
      </c>
      <c r="B18" s="16" t="str">
        <f>Titanic_raw!D18</f>
        <v>Keane, Mr. Daniel</v>
      </c>
      <c r="C18" s="17" t="s">
        <v>609</v>
      </c>
      <c r="D18" s="18" t="str">
        <f t="shared" si="0"/>
        <v>Daniel</v>
      </c>
      <c r="E18" s="17" t="str">
        <f t="shared" si="1"/>
        <v>Keane</v>
      </c>
      <c r="F18" s="17" t="str">
        <f t="shared" si="2"/>
        <v>Mr. Daniel Keane</v>
      </c>
      <c r="G18" s="17" t="str">
        <f>PROPER(Titanic_raw!E18)</f>
        <v>Male</v>
      </c>
    </row>
    <row r="19" spans="1:7" x14ac:dyDescent="0.2">
      <c r="A19" s="7">
        <f>Titanic_raw!A19</f>
        <v>909</v>
      </c>
      <c r="B19" s="20" t="str">
        <f>Titanic_raw!D19</f>
        <v>Assaf, Mr. Gerios</v>
      </c>
      <c r="C19" s="21" t="s">
        <v>609</v>
      </c>
      <c r="D19" s="22" t="str">
        <f t="shared" si="0"/>
        <v>Gerios</v>
      </c>
      <c r="E19" s="21" t="str">
        <f t="shared" si="1"/>
        <v>Assaf</v>
      </c>
      <c r="F19" s="21" t="str">
        <f t="shared" si="2"/>
        <v>Mr. Gerios Assaf</v>
      </c>
      <c r="G19" s="21" t="str">
        <f>PROPER(Titanic_raw!E19)</f>
        <v>Male</v>
      </c>
    </row>
    <row r="20" spans="1:7" x14ac:dyDescent="0.2">
      <c r="A20" s="7">
        <f>Titanic_raw!A20</f>
        <v>910</v>
      </c>
      <c r="B20" s="16" t="str">
        <f>Titanic_raw!D20</f>
        <v>Ilmakangas, Miss. Ida Livija</v>
      </c>
      <c r="C20" s="17" t="s">
        <v>611</v>
      </c>
      <c r="D20" s="18" t="str">
        <f t="shared" si="0"/>
        <v>Ida Livija</v>
      </c>
      <c r="E20" s="17" t="str">
        <f t="shared" si="1"/>
        <v>Ilmakangas</v>
      </c>
      <c r="F20" s="17" t="str">
        <f t="shared" si="2"/>
        <v>Miss. Ida Livija Ilmakangas</v>
      </c>
      <c r="G20" s="17" t="str">
        <f>PROPER(Titanic_raw!E20)</f>
        <v>Female</v>
      </c>
    </row>
    <row r="21" spans="1:7" x14ac:dyDescent="0.2">
      <c r="A21" s="7">
        <f>Titanic_raw!A21</f>
        <v>911</v>
      </c>
      <c r="B21" s="20" t="str">
        <f>Titanic_raw!D21</f>
        <v>Assaf Khalil, Mrs. Mariana (Miriam")"</v>
      </c>
      <c r="C21" s="21" t="s">
        <v>610</v>
      </c>
      <c r="D21" s="22" t="str">
        <f t="shared" si="0"/>
        <v>Mariana (Miriam")"</v>
      </c>
      <c r="E21" s="21" t="str">
        <f t="shared" si="1"/>
        <v>Assaf Khalil</v>
      </c>
      <c r="F21" s="21" t="str">
        <f t="shared" si="2"/>
        <v>Mrs. Mariana (Miriam")" Assaf Khalil</v>
      </c>
      <c r="G21" s="21" t="str">
        <f>PROPER(Titanic_raw!E21)</f>
        <v>Female</v>
      </c>
    </row>
    <row r="22" spans="1:7" x14ac:dyDescent="0.2">
      <c r="A22" s="7">
        <f>Titanic_raw!A22</f>
        <v>912</v>
      </c>
      <c r="B22" s="16" t="str">
        <f>Titanic_raw!D22</f>
        <v>Rothschild, Mr. Martin</v>
      </c>
      <c r="C22" s="17" t="s">
        <v>609</v>
      </c>
      <c r="D22" s="18" t="str">
        <f t="shared" si="0"/>
        <v>Martin</v>
      </c>
      <c r="E22" s="17" t="str">
        <f t="shared" si="1"/>
        <v>Rothschild</v>
      </c>
      <c r="F22" s="17" t="str">
        <f t="shared" si="2"/>
        <v>Mr. Martin Rothschild</v>
      </c>
      <c r="G22" s="17" t="str">
        <f>PROPER(Titanic_raw!E22)</f>
        <v>Male</v>
      </c>
    </row>
    <row r="23" spans="1:7" x14ac:dyDescent="0.2">
      <c r="A23" s="7">
        <f>Titanic_raw!A23</f>
        <v>913</v>
      </c>
      <c r="B23" s="20" t="str">
        <f>Titanic_raw!D23</f>
        <v>Olsen, Master. Artur Karl</v>
      </c>
      <c r="C23" s="21" t="s">
        <v>612</v>
      </c>
      <c r="D23" s="22" t="str">
        <f t="shared" si="0"/>
        <v>Artur Karl</v>
      </c>
      <c r="E23" s="21" t="str">
        <f t="shared" si="1"/>
        <v>Olsen</v>
      </c>
      <c r="F23" s="21" t="str">
        <f t="shared" si="2"/>
        <v>Master. Artur Karl Olsen</v>
      </c>
      <c r="G23" s="21" t="str">
        <f>PROPER(Titanic_raw!E23)</f>
        <v>Male</v>
      </c>
    </row>
    <row r="24" spans="1:7" x14ac:dyDescent="0.2">
      <c r="A24" s="7">
        <f>Titanic_raw!A24</f>
        <v>914</v>
      </c>
      <c r="B24" s="16" t="str">
        <f>Titanic_raw!D24</f>
        <v>Flegenheim, Mrs. Alfred (Antoinette)</v>
      </c>
      <c r="C24" s="17" t="s">
        <v>610</v>
      </c>
      <c r="D24" s="18" t="str">
        <f t="shared" si="0"/>
        <v>Alfred (Antoinette)</v>
      </c>
      <c r="E24" s="17" t="str">
        <f t="shared" si="1"/>
        <v>Flegenheim</v>
      </c>
      <c r="F24" s="17" t="str">
        <f t="shared" si="2"/>
        <v>Mrs. Alfred (Antoinette) Flegenheim</v>
      </c>
      <c r="G24" s="17" t="str">
        <f>PROPER(Titanic_raw!E24)</f>
        <v>Female</v>
      </c>
    </row>
    <row r="25" spans="1:7" x14ac:dyDescent="0.2">
      <c r="A25" s="7">
        <f>Titanic_raw!A25</f>
        <v>915</v>
      </c>
      <c r="B25" s="20" t="str">
        <f>Titanic_raw!D25</f>
        <v>Williams, Mr. Richard Norris II</v>
      </c>
      <c r="C25" s="21" t="s">
        <v>609</v>
      </c>
      <c r="D25" s="22" t="str">
        <f t="shared" si="0"/>
        <v>Richard Norris II</v>
      </c>
      <c r="E25" s="21" t="str">
        <f t="shared" si="1"/>
        <v>Williams</v>
      </c>
      <c r="F25" s="21" t="str">
        <f t="shared" si="2"/>
        <v>Mr. Richard Norris II Williams</v>
      </c>
      <c r="G25" s="21" t="str">
        <f>PROPER(Titanic_raw!E25)</f>
        <v>Male</v>
      </c>
    </row>
    <row r="26" spans="1:7" x14ac:dyDescent="0.2">
      <c r="A26" s="7">
        <f>Titanic_raw!A26</f>
        <v>916</v>
      </c>
      <c r="B26" s="16" t="str">
        <f>Titanic_raw!D26</f>
        <v>Ryerson, Mrs. Arthur Larned (Emily Maria Borie)</v>
      </c>
      <c r="C26" s="17" t="s">
        <v>610</v>
      </c>
      <c r="D26" s="18" t="str">
        <f t="shared" si="0"/>
        <v>Arthur Larned (Emily Maria Borie)</v>
      </c>
      <c r="E26" s="17" t="str">
        <f t="shared" si="1"/>
        <v>Ryerson</v>
      </c>
      <c r="F26" s="17" t="str">
        <f t="shared" si="2"/>
        <v>Mrs. Arthur Larned (Emily Maria Borie) Ryerson</v>
      </c>
      <c r="G26" s="17" t="str">
        <f>PROPER(Titanic_raw!E26)</f>
        <v>Female</v>
      </c>
    </row>
    <row r="27" spans="1:7" x14ac:dyDescent="0.2">
      <c r="A27" s="7">
        <f>Titanic_raw!A27</f>
        <v>917</v>
      </c>
      <c r="B27" s="20" t="str">
        <f>Titanic_raw!D27</f>
        <v>Robins, Mr. Alexander A</v>
      </c>
      <c r="C27" s="21" t="s">
        <v>609</v>
      </c>
      <c r="D27" s="22" t="str">
        <f t="shared" si="0"/>
        <v>Alexander A</v>
      </c>
      <c r="E27" s="21" t="str">
        <f t="shared" si="1"/>
        <v>Robins</v>
      </c>
      <c r="F27" s="21" t="str">
        <f t="shared" si="2"/>
        <v>Mr. Alexander A Robins</v>
      </c>
      <c r="G27" s="21" t="str">
        <f>PROPER(Titanic_raw!E27)</f>
        <v>Male</v>
      </c>
    </row>
    <row r="28" spans="1:7" x14ac:dyDescent="0.2">
      <c r="A28" s="7">
        <f>Titanic_raw!A28</f>
        <v>918</v>
      </c>
      <c r="B28" s="16" t="str">
        <f>Titanic_raw!D28</f>
        <v>Ostby, Miss. Helene Ragnhild</v>
      </c>
      <c r="C28" s="17" t="s">
        <v>611</v>
      </c>
      <c r="D28" s="18" t="str">
        <f t="shared" si="0"/>
        <v>Helene Ragnhild</v>
      </c>
      <c r="E28" s="17" t="str">
        <f t="shared" si="1"/>
        <v>Ostby</v>
      </c>
      <c r="F28" s="17" t="str">
        <f t="shared" si="2"/>
        <v>Miss. Helene Ragnhild Ostby</v>
      </c>
      <c r="G28" s="17" t="str">
        <f>PROPER(Titanic_raw!E28)</f>
        <v>Female</v>
      </c>
    </row>
    <row r="29" spans="1:7" x14ac:dyDescent="0.2">
      <c r="A29" s="7">
        <f>Titanic_raw!A29</f>
        <v>919</v>
      </c>
      <c r="B29" s="20" t="str">
        <f>Titanic_raw!D29</f>
        <v>Daher, Mr. Shedid</v>
      </c>
      <c r="C29" s="21" t="s">
        <v>609</v>
      </c>
      <c r="D29" s="22" t="str">
        <f t="shared" si="0"/>
        <v>Shedid</v>
      </c>
      <c r="E29" s="21" t="str">
        <f t="shared" si="1"/>
        <v>Daher</v>
      </c>
      <c r="F29" s="21" t="str">
        <f t="shared" si="2"/>
        <v>Mr. Shedid Daher</v>
      </c>
      <c r="G29" s="21" t="str">
        <f>PROPER(Titanic_raw!E29)</f>
        <v>Male</v>
      </c>
    </row>
    <row r="30" spans="1:7" x14ac:dyDescent="0.2">
      <c r="A30" s="7">
        <f>Titanic_raw!A30</f>
        <v>920</v>
      </c>
      <c r="B30" s="16" t="str">
        <f>Titanic_raw!D30</f>
        <v>Brady, Mr. John Bertram</v>
      </c>
      <c r="C30" s="17" t="s">
        <v>609</v>
      </c>
      <c r="D30" s="18" t="str">
        <f t="shared" si="0"/>
        <v>John Bertram</v>
      </c>
      <c r="E30" s="17" t="str">
        <f t="shared" si="1"/>
        <v>Brady</v>
      </c>
      <c r="F30" s="17" t="str">
        <f t="shared" si="2"/>
        <v>Mr. John Bertram Brady</v>
      </c>
      <c r="G30" s="17" t="str">
        <f>PROPER(Titanic_raw!E30)</f>
        <v>Male</v>
      </c>
    </row>
    <row r="31" spans="1:7" x14ac:dyDescent="0.2">
      <c r="A31" s="7">
        <f>Titanic_raw!A31</f>
        <v>921</v>
      </c>
      <c r="B31" s="20" t="str">
        <f>Titanic_raw!D31</f>
        <v>Samaan, Mr. Elias</v>
      </c>
      <c r="C31" s="21" t="s">
        <v>609</v>
      </c>
      <c r="D31" s="22" t="str">
        <f t="shared" si="0"/>
        <v>Elias</v>
      </c>
      <c r="E31" s="21" t="str">
        <f t="shared" si="1"/>
        <v>Samaan</v>
      </c>
      <c r="F31" s="21" t="str">
        <f t="shared" si="2"/>
        <v>Mr. Elias Samaan</v>
      </c>
      <c r="G31" s="21" t="str">
        <f>PROPER(Titanic_raw!E31)</f>
        <v>Male</v>
      </c>
    </row>
    <row r="32" spans="1:7" x14ac:dyDescent="0.2">
      <c r="A32" s="7">
        <f>Titanic_raw!A32</f>
        <v>922</v>
      </c>
      <c r="B32" s="16" t="str">
        <f>Titanic_raw!D32</f>
        <v>Louch, Mr. Charles Alexander</v>
      </c>
      <c r="C32" s="17" t="s">
        <v>609</v>
      </c>
      <c r="D32" s="18" t="str">
        <f t="shared" si="0"/>
        <v>Charles Alexander</v>
      </c>
      <c r="E32" s="17" t="str">
        <f t="shared" si="1"/>
        <v>Louch</v>
      </c>
      <c r="F32" s="17" t="str">
        <f t="shared" si="2"/>
        <v>Mr. Charles Alexander Louch</v>
      </c>
      <c r="G32" s="17" t="str">
        <f>PROPER(Titanic_raw!E32)</f>
        <v>Male</v>
      </c>
    </row>
    <row r="33" spans="1:7" x14ac:dyDescent="0.2">
      <c r="A33" s="7">
        <f>Titanic_raw!A33</f>
        <v>923</v>
      </c>
      <c r="B33" s="20" t="str">
        <f>Titanic_raw!D33</f>
        <v>Jefferys, Mr. Clifford Thomas</v>
      </c>
      <c r="C33" s="21" t="s">
        <v>609</v>
      </c>
      <c r="D33" s="22" t="str">
        <f t="shared" si="0"/>
        <v>Clifford Thomas</v>
      </c>
      <c r="E33" s="21" t="str">
        <f t="shared" si="1"/>
        <v>Jefferys</v>
      </c>
      <c r="F33" s="21" t="str">
        <f t="shared" si="2"/>
        <v>Mr. Clifford Thomas Jefferys</v>
      </c>
      <c r="G33" s="21" t="str">
        <f>PROPER(Titanic_raw!E33)</f>
        <v>Male</v>
      </c>
    </row>
    <row r="34" spans="1:7" x14ac:dyDescent="0.2">
      <c r="A34" s="7">
        <f>Titanic_raw!A34</f>
        <v>924</v>
      </c>
      <c r="B34" s="16" t="str">
        <f>Titanic_raw!D34</f>
        <v>Dean, Mrs. Bertram (Eva Georgetta Light)</v>
      </c>
      <c r="C34" s="17" t="s">
        <v>610</v>
      </c>
      <c r="D34" s="18" t="str">
        <f t="shared" si="0"/>
        <v>Bertram (Eva Georgetta Light)</v>
      </c>
      <c r="E34" s="17" t="str">
        <f t="shared" si="1"/>
        <v>Dean</v>
      </c>
      <c r="F34" s="17" t="str">
        <f t="shared" si="2"/>
        <v>Mrs. Bertram (Eva Georgetta Light) Dean</v>
      </c>
      <c r="G34" s="17" t="str">
        <f>PROPER(Titanic_raw!E34)</f>
        <v>Female</v>
      </c>
    </row>
    <row r="35" spans="1:7" x14ac:dyDescent="0.2">
      <c r="A35" s="7">
        <f>Titanic_raw!A35</f>
        <v>925</v>
      </c>
      <c r="B35" s="20" t="str">
        <f>Titanic_raw!D35</f>
        <v>Johnston, Mrs. Andrew G (Elizabeth Lily" Watson)"</v>
      </c>
      <c r="C35" s="21" t="s">
        <v>610</v>
      </c>
      <c r="D35" s="22" t="str">
        <f t="shared" si="0"/>
        <v>Andrew G (Elizabeth Lily" Watson)"</v>
      </c>
      <c r="E35" s="21" t="str">
        <f t="shared" si="1"/>
        <v>Johnston</v>
      </c>
      <c r="F35" s="21" t="str">
        <f t="shared" si="2"/>
        <v>Mrs. Andrew G (Elizabeth Lily" Watson)" Johnston</v>
      </c>
      <c r="G35" s="21" t="str">
        <f>PROPER(Titanic_raw!E35)</f>
        <v>Female</v>
      </c>
    </row>
    <row r="36" spans="1:7" x14ac:dyDescent="0.2">
      <c r="A36" s="7">
        <f>Titanic_raw!A36</f>
        <v>926</v>
      </c>
      <c r="B36" s="16" t="str">
        <f>Titanic_raw!D36</f>
        <v>Mock, Mr. Philipp Edmund</v>
      </c>
      <c r="C36" s="17" t="s">
        <v>609</v>
      </c>
      <c r="D36" s="18" t="str">
        <f t="shared" si="0"/>
        <v>Philipp Edmund</v>
      </c>
      <c r="E36" s="17" t="str">
        <f t="shared" si="1"/>
        <v>Mock</v>
      </c>
      <c r="F36" s="17" t="str">
        <f t="shared" si="2"/>
        <v>Mr. Philipp Edmund Mock</v>
      </c>
      <c r="G36" s="17" t="str">
        <f>PROPER(Titanic_raw!E36)</f>
        <v>Male</v>
      </c>
    </row>
    <row r="37" spans="1:7" x14ac:dyDescent="0.2">
      <c r="A37" s="7">
        <f>Titanic_raw!A37</f>
        <v>927</v>
      </c>
      <c r="B37" s="20" t="str">
        <f>Titanic_raw!D37</f>
        <v>Katavelas, Mr. Vassilios (Catavelas Vassilios")"</v>
      </c>
      <c r="C37" s="21" t="s">
        <v>609</v>
      </c>
      <c r="D37" s="22" t="str">
        <f t="shared" si="0"/>
        <v>Vassilios (Catavelas Vassilios")"</v>
      </c>
      <c r="E37" s="21" t="str">
        <f t="shared" si="1"/>
        <v>Katavelas</v>
      </c>
      <c r="F37" s="21" t="str">
        <f t="shared" si="2"/>
        <v>Mr. Vassilios (Catavelas Vassilios")" Katavelas</v>
      </c>
      <c r="G37" s="21" t="str">
        <f>PROPER(Titanic_raw!E37)</f>
        <v>Male</v>
      </c>
    </row>
    <row r="38" spans="1:7" x14ac:dyDescent="0.2">
      <c r="A38" s="7">
        <f>Titanic_raw!A38</f>
        <v>928</v>
      </c>
      <c r="B38" s="16" t="str">
        <f>Titanic_raw!D38</f>
        <v>Roth, Miss. Sarah A</v>
      </c>
      <c r="C38" s="17" t="s">
        <v>611</v>
      </c>
      <c r="D38" s="18" t="str">
        <f t="shared" si="0"/>
        <v>Sarah A</v>
      </c>
      <c r="E38" s="17" t="str">
        <f t="shared" si="1"/>
        <v>Roth</v>
      </c>
      <c r="F38" s="17" t="str">
        <f t="shared" si="2"/>
        <v>Miss. Sarah A Roth</v>
      </c>
      <c r="G38" s="17" t="str">
        <f>PROPER(Titanic_raw!E38)</f>
        <v>Female</v>
      </c>
    </row>
    <row r="39" spans="1:7" x14ac:dyDescent="0.2">
      <c r="A39" s="7">
        <f>Titanic_raw!A39</f>
        <v>929</v>
      </c>
      <c r="B39" s="20" t="str">
        <f>Titanic_raw!D39</f>
        <v>Cacic, Miss. Manda</v>
      </c>
      <c r="C39" s="21" t="s">
        <v>611</v>
      </c>
      <c r="D39" s="22" t="str">
        <f t="shared" si="0"/>
        <v>Manda</v>
      </c>
      <c r="E39" s="21" t="str">
        <f t="shared" si="1"/>
        <v>Cacic</v>
      </c>
      <c r="F39" s="21" t="str">
        <f t="shared" si="2"/>
        <v>Miss. Manda Cacic</v>
      </c>
      <c r="G39" s="21" t="str">
        <f>PROPER(Titanic_raw!E39)</f>
        <v>Female</v>
      </c>
    </row>
    <row r="40" spans="1:7" x14ac:dyDescent="0.2">
      <c r="A40" s="7">
        <f>Titanic_raw!A40</f>
        <v>930</v>
      </c>
      <c r="B40" s="16" t="str">
        <f>Titanic_raw!D40</f>
        <v>Sap, Mr. Julius</v>
      </c>
      <c r="C40" s="17" t="s">
        <v>609</v>
      </c>
      <c r="D40" s="18" t="str">
        <f t="shared" si="0"/>
        <v>Julius</v>
      </c>
      <c r="E40" s="17" t="str">
        <f t="shared" si="1"/>
        <v>Sap</v>
      </c>
      <c r="F40" s="17" t="str">
        <f t="shared" si="2"/>
        <v>Mr. Julius Sap</v>
      </c>
      <c r="G40" s="17" t="str">
        <f>PROPER(Titanic_raw!E40)</f>
        <v>Male</v>
      </c>
    </row>
    <row r="41" spans="1:7" x14ac:dyDescent="0.2">
      <c r="A41" s="7">
        <f>Titanic_raw!A41</f>
        <v>931</v>
      </c>
      <c r="B41" s="20" t="str">
        <f>Titanic_raw!D41</f>
        <v>Hee, Mr. Ling</v>
      </c>
      <c r="C41" s="21" t="s">
        <v>609</v>
      </c>
      <c r="D41" s="22" t="str">
        <f t="shared" si="0"/>
        <v>Ling</v>
      </c>
      <c r="E41" s="21" t="str">
        <f t="shared" si="1"/>
        <v>Hee</v>
      </c>
      <c r="F41" s="21" t="str">
        <f t="shared" si="2"/>
        <v>Mr. Ling Hee</v>
      </c>
      <c r="G41" s="21" t="str">
        <f>PROPER(Titanic_raw!E41)</f>
        <v>Male</v>
      </c>
    </row>
    <row r="42" spans="1:7" x14ac:dyDescent="0.2">
      <c r="A42" s="7">
        <f>Titanic_raw!A42</f>
        <v>932</v>
      </c>
      <c r="B42" s="16" t="str">
        <f>Titanic_raw!D42</f>
        <v>Karun, Mr. Franz</v>
      </c>
      <c r="C42" s="17" t="s">
        <v>609</v>
      </c>
      <c r="D42" s="18" t="str">
        <f t="shared" si="0"/>
        <v>Franz</v>
      </c>
      <c r="E42" s="17" t="str">
        <f t="shared" si="1"/>
        <v>Karun</v>
      </c>
      <c r="F42" s="17" t="str">
        <f t="shared" si="2"/>
        <v>Mr. Franz Karun</v>
      </c>
      <c r="G42" s="17" t="str">
        <f>PROPER(Titanic_raw!E42)</f>
        <v>Male</v>
      </c>
    </row>
    <row r="43" spans="1:7" x14ac:dyDescent="0.2">
      <c r="A43" s="7">
        <f>Titanic_raw!A43</f>
        <v>933</v>
      </c>
      <c r="B43" s="20" t="str">
        <f>Titanic_raw!D43</f>
        <v>Franklin, Mr. Thomas Parham</v>
      </c>
      <c r="C43" s="21" t="s">
        <v>609</v>
      </c>
      <c r="D43" s="22" t="str">
        <f t="shared" si="0"/>
        <v>Thomas Parham</v>
      </c>
      <c r="E43" s="21" t="str">
        <f t="shared" si="1"/>
        <v>Franklin</v>
      </c>
      <c r="F43" s="21" t="str">
        <f t="shared" si="2"/>
        <v>Mr. Thomas Parham Franklin</v>
      </c>
      <c r="G43" s="21" t="str">
        <f>PROPER(Titanic_raw!E43)</f>
        <v>Male</v>
      </c>
    </row>
    <row r="44" spans="1:7" x14ac:dyDescent="0.2">
      <c r="A44" s="7">
        <f>Titanic_raw!A44</f>
        <v>934</v>
      </c>
      <c r="B44" s="16" t="str">
        <f>Titanic_raw!D44</f>
        <v>Goldsmith, Mr. Nathan</v>
      </c>
      <c r="C44" s="17" t="s">
        <v>609</v>
      </c>
      <c r="D44" s="18" t="str">
        <f t="shared" si="0"/>
        <v>Nathan</v>
      </c>
      <c r="E44" s="17" t="str">
        <f t="shared" si="1"/>
        <v>Goldsmith</v>
      </c>
      <c r="F44" s="17" t="str">
        <f t="shared" si="2"/>
        <v>Mr. Nathan Goldsmith</v>
      </c>
      <c r="G44" s="17" t="str">
        <f>PROPER(Titanic_raw!E44)</f>
        <v>Male</v>
      </c>
    </row>
    <row r="45" spans="1:7" x14ac:dyDescent="0.2">
      <c r="A45" s="7">
        <f>Titanic_raw!A45</f>
        <v>935</v>
      </c>
      <c r="B45" s="20" t="str">
        <f>Titanic_raw!D45</f>
        <v>Corbett, Mrs. Walter H (Irene Colvin)</v>
      </c>
      <c r="C45" s="21" t="s">
        <v>610</v>
      </c>
      <c r="D45" s="22" t="str">
        <f t="shared" si="0"/>
        <v>Walter H (Irene Colvin)</v>
      </c>
      <c r="E45" s="21" t="str">
        <f t="shared" si="1"/>
        <v>Corbett</v>
      </c>
      <c r="F45" s="21" t="str">
        <f t="shared" si="2"/>
        <v>Mrs. Walter H (Irene Colvin) Corbett</v>
      </c>
      <c r="G45" s="21" t="str">
        <f>PROPER(Titanic_raw!E45)</f>
        <v>Female</v>
      </c>
    </row>
    <row r="46" spans="1:7" x14ac:dyDescent="0.2">
      <c r="A46" s="7">
        <f>Titanic_raw!A46</f>
        <v>936</v>
      </c>
      <c r="B46" s="16" t="str">
        <f>Titanic_raw!D46</f>
        <v>Kimball, Mrs. Edwin Nelson Jr (Gertrude Parsons)</v>
      </c>
      <c r="C46" s="17" t="s">
        <v>610</v>
      </c>
      <c r="D46" s="18" t="str">
        <f t="shared" si="0"/>
        <v>Edwin Nelson Jr (Gertrude Parsons)</v>
      </c>
      <c r="E46" s="17" t="str">
        <f t="shared" si="1"/>
        <v>Kimball</v>
      </c>
      <c r="F46" s="17" t="str">
        <f t="shared" si="2"/>
        <v>Mrs. Edwin Nelson Jr (Gertrude Parsons) Kimball</v>
      </c>
      <c r="G46" s="17" t="str">
        <f>PROPER(Titanic_raw!E46)</f>
        <v>Female</v>
      </c>
    </row>
    <row r="47" spans="1:7" x14ac:dyDescent="0.2">
      <c r="A47" s="7">
        <f>Titanic_raw!A47</f>
        <v>937</v>
      </c>
      <c r="B47" s="20" t="str">
        <f>Titanic_raw!D47</f>
        <v>Peltomaki, Mr. Nikolai Johannes</v>
      </c>
      <c r="C47" s="21" t="s">
        <v>609</v>
      </c>
      <c r="D47" s="22" t="str">
        <f t="shared" si="0"/>
        <v>Nikolai Johannes</v>
      </c>
      <c r="E47" s="21" t="str">
        <f t="shared" si="1"/>
        <v>Peltomaki</v>
      </c>
      <c r="F47" s="21" t="str">
        <f t="shared" si="2"/>
        <v>Mr. Nikolai Johannes Peltomaki</v>
      </c>
      <c r="G47" s="21" t="str">
        <f>PROPER(Titanic_raw!E47)</f>
        <v>Male</v>
      </c>
    </row>
    <row r="48" spans="1:7" x14ac:dyDescent="0.2">
      <c r="A48" s="7">
        <f>Titanic_raw!A48</f>
        <v>938</v>
      </c>
      <c r="B48" s="16" t="str">
        <f>Titanic_raw!D48</f>
        <v>Chevre, Mr. Paul Romaine</v>
      </c>
      <c r="C48" s="17" t="s">
        <v>609</v>
      </c>
      <c r="D48" s="18" t="str">
        <f t="shared" si="0"/>
        <v>Paul Romaine</v>
      </c>
      <c r="E48" s="17" t="str">
        <f t="shared" si="1"/>
        <v>Chevre</v>
      </c>
      <c r="F48" s="17" t="str">
        <f t="shared" si="2"/>
        <v>Mr. Paul Romaine Chevre</v>
      </c>
      <c r="G48" s="17" t="str">
        <f>PROPER(Titanic_raw!E48)</f>
        <v>Male</v>
      </c>
    </row>
    <row r="49" spans="1:7" x14ac:dyDescent="0.2">
      <c r="A49" s="7">
        <f>Titanic_raw!A49</f>
        <v>939</v>
      </c>
      <c r="B49" s="20" t="str">
        <f>Titanic_raw!D49</f>
        <v>Shaughnessy, Mr. Patrick</v>
      </c>
      <c r="C49" s="21" t="s">
        <v>609</v>
      </c>
      <c r="D49" s="22" t="str">
        <f t="shared" si="0"/>
        <v>Patrick</v>
      </c>
      <c r="E49" s="21" t="str">
        <f t="shared" si="1"/>
        <v>Shaughnessy</v>
      </c>
      <c r="F49" s="21" t="str">
        <f t="shared" si="2"/>
        <v>Mr. Patrick Shaughnessy</v>
      </c>
      <c r="G49" s="21" t="str">
        <f>PROPER(Titanic_raw!E49)</f>
        <v>Male</v>
      </c>
    </row>
    <row r="50" spans="1:7" x14ac:dyDescent="0.2">
      <c r="A50" s="7">
        <f>Titanic_raw!A50</f>
        <v>940</v>
      </c>
      <c r="B50" s="16" t="str">
        <f>Titanic_raw!D50</f>
        <v>Bucknell, Mrs. William Robert (Emma Eliza Ward)</v>
      </c>
      <c r="C50" s="17" t="s">
        <v>610</v>
      </c>
      <c r="D50" s="18" t="str">
        <f t="shared" si="0"/>
        <v>William Robert (Emma Eliza Ward)</v>
      </c>
      <c r="E50" s="17" t="str">
        <f t="shared" si="1"/>
        <v>Bucknell</v>
      </c>
      <c r="F50" s="17" t="str">
        <f t="shared" si="2"/>
        <v>Mrs. William Robert (Emma Eliza Ward) Bucknell</v>
      </c>
      <c r="G50" s="17" t="str">
        <f>PROPER(Titanic_raw!E50)</f>
        <v>Female</v>
      </c>
    </row>
    <row r="51" spans="1:7" x14ac:dyDescent="0.2">
      <c r="A51" s="7">
        <f>Titanic_raw!A51</f>
        <v>941</v>
      </c>
      <c r="B51" s="20" t="str">
        <f>Titanic_raw!D51</f>
        <v>Coutts, Mrs. William (Winnie Minnie" Treanor)"</v>
      </c>
      <c r="C51" s="21" t="s">
        <v>610</v>
      </c>
      <c r="D51" s="22" t="str">
        <f t="shared" si="0"/>
        <v>William (Winnie Minnie" Treanor)"</v>
      </c>
      <c r="E51" s="21" t="str">
        <f t="shared" si="1"/>
        <v>Coutts</v>
      </c>
      <c r="F51" s="21" t="str">
        <f t="shared" si="2"/>
        <v>Mrs. William (Winnie Minnie" Treanor)" Coutts</v>
      </c>
      <c r="G51" s="21" t="str">
        <f>PROPER(Titanic_raw!E51)</f>
        <v>Female</v>
      </c>
    </row>
    <row r="52" spans="1:7" x14ac:dyDescent="0.2">
      <c r="A52" s="7">
        <f>Titanic_raw!A52</f>
        <v>942</v>
      </c>
      <c r="B52" s="16" t="str">
        <f>Titanic_raw!D52</f>
        <v>Smith, Mr. Lucien Philip</v>
      </c>
      <c r="C52" s="17" t="s">
        <v>609</v>
      </c>
      <c r="D52" s="18" t="str">
        <f t="shared" si="0"/>
        <v>Lucien Philip</v>
      </c>
      <c r="E52" s="17" t="str">
        <f t="shared" si="1"/>
        <v>Smith</v>
      </c>
      <c r="F52" s="17" t="str">
        <f t="shared" si="2"/>
        <v>Mr. Lucien Philip Smith</v>
      </c>
      <c r="G52" s="17" t="str">
        <f>PROPER(Titanic_raw!E52)</f>
        <v>Male</v>
      </c>
    </row>
    <row r="53" spans="1:7" x14ac:dyDescent="0.2">
      <c r="A53" s="7">
        <f>Titanic_raw!A53</f>
        <v>943</v>
      </c>
      <c r="B53" s="20" t="str">
        <f>Titanic_raw!D53</f>
        <v>Pulbaum, Mr. Franz</v>
      </c>
      <c r="C53" s="21" t="s">
        <v>609</v>
      </c>
      <c r="D53" s="22" t="str">
        <f t="shared" si="0"/>
        <v>Franz</v>
      </c>
      <c r="E53" s="21" t="str">
        <f t="shared" si="1"/>
        <v>Pulbaum</v>
      </c>
      <c r="F53" s="21" t="str">
        <f t="shared" si="2"/>
        <v>Mr. Franz Pulbaum</v>
      </c>
      <c r="G53" s="21" t="str">
        <f>PROPER(Titanic_raw!E53)</f>
        <v>Male</v>
      </c>
    </row>
    <row r="54" spans="1:7" x14ac:dyDescent="0.2">
      <c r="A54" s="7">
        <f>Titanic_raw!A54</f>
        <v>944</v>
      </c>
      <c r="B54" s="16" t="str">
        <f>Titanic_raw!D54</f>
        <v>Hocking, Miss. Ellen Nellie""</v>
      </c>
      <c r="C54" s="17" t="s">
        <v>611</v>
      </c>
      <c r="D54" s="18" t="str">
        <f t="shared" si="0"/>
        <v>Ellen Nellie""</v>
      </c>
      <c r="E54" s="17" t="str">
        <f t="shared" si="1"/>
        <v>Hocking</v>
      </c>
      <c r="F54" s="17" t="str">
        <f t="shared" si="2"/>
        <v>Miss. Ellen Nellie"" Hocking</v>
      </c>
      <c r="G54" s="17" t="str">
        <f>PROPER(Titanic_raw!E54)</f>
        <v>Female</v>
      </c>
    </row>
    <row r="55" spans="1:7" x14ac:dyDescent="0.2">
      <c r="A55" s="7">
        <f>Titanic_raw!A55</f>
        <v>945</v>
      </c>
      <c r="B55" s="20" t="str">
        <f>Titanic_raw!D55</f>
        <v>Fortune, Miss. Ethel Flora</v>
      </c>
      <c r="C55" s="21" t="s">
        <v>611</v>
      </c>
      <c r="D55" s="22" t="str">
        <f t="shared" si="0"/>
        <v>Ethel Flora</v>
      </c>
      <c r="E55" s="21" t="str">
        <f t="shared" si="1"/>
        <v>Fortune</v>
      </c>
      <c r="F55" s="21" t="str">
        <f t="shared" si="2"/>
        <v>Miss. Ethel Flora Fortune</v>
      </c>
      <c r="G55" s="21" t="str">
        <f>PROPER(Titanic_raw!E55)</f>
        <v>Female</v>
      </c>
    </row>
    <row r="56" spans="1:7" x14ac:dyDescent="0.2">
      <c r="A56" s="7">
        <f>Titanic_raw!A56</f>
        <v>946</v>
      </c>
      <c r="B56" s="16" t="str">
        <f>Titanic_raw!D56</f>
        <v>Mangiavacchi, Mr. Serafino Emilio</v>
      </c>
      <c r="C56" s="17" t="s">
        <v>609</v>
      </c>
      <c r="D56" s="18" t="str">
        <f t="shared" si="0"/>
        <v>Serafino Emilio</v>
      </c>
      <c r="E56" s="17" t="str">
        <f t="shared" si="1"/>
        <v>Mangiavacchi</v>
      </c>
      <c r="F56" s="17" t="str">
        <f t="shared" si="2"/>
        <v>Mr. Serafino Emilio Mangiavacchi</v>
      </c>
      <c r="G56" s="17" t="str">
        <f>PROPER(Titanic_raw!E56)</f>
        <v>Male</v>
      </c>
    </row>
    <row r="57" spans="1:7" x14ac:dyDescent="0.2">
      <c r="A57" s="7">
        <f>Titanic_raw!A57</f>
        <v>947</v>
      </c>
      <c r="B57" s="20" t="str">
        <f>Titanic_raw!D57</f>
        <v>Rice, Master. Albert</v>
      </c>
      <c r="C57" s="21" t="s">
        <v>612</v>
      </c>
      <c r="D57" s="22" t="str">
        <f t="shared" si="0"/>
        <v>Albert</v>
      </c>
      <c r="E57" s="21" t="str">
        <f t="shared" si="1"/>
        <v>Rice</v>
      </c>
      <c r="F57" s="21" t="str">
        <f t="shared" si="2"/>
        <v>Master. Albert Rice</v>
      </c>
      <c r="G57" s="21" t="str">
        <f>PROPER(Titanic_raw!E57)</f>
        <v>Male</v>
      </c>
    </row>
    <row r="58" spans="1:7" x14ac:dyDescent="0.2">
      <c r="A58" s="7">
        <f>Titanic_raw!A58</f>
        <v>948</v>
      </c>
      <c r="B58" s="16" t="str">
        <f>Titanic_raw!D58</f>
        <v>Cor, Mr. Bartol</v>
      </c>
      <c r="C58" s="17" t="s">
        <v>609</v>
      </c>
      <c r="D58" s="18" t="str">
        <f t="shared" si="0"/>
        <v>Bartol</v>
      </c>
      <c r="E58" s="17" t="str">
        <f t="shared" si="1"/>
        <v>Cor</v>
      </c>
      <c r="F58" s="17" t="str">
        <f t="shared" si="2"/>
        <v>Mr. Bartol Cor</v>
      </c>
      <c r="G58" s="17" t="str">
        <f>PROPER(Titanic_raw!E58)</f>
        <v>Male</v>
      </c>
    </row>
    <row r="59" spans="1:7" x14ac:dyDescent="0.2">
      <c r="A59" s="7">
        <f>Titanic_raw!A59</f>
        <v>949</v>
      </c>
      <c r="B59" s="20" t="str">
        <f>Titanic_raw!D59</f>
        <v>Abelseth, Mr. Olaus Jorgensen</v>
      </c>
      <c r="C59" s="21" t="s">
        <v>609</v>
      </c>
      <c r="D59" s="22" t="str">
        <f t="shared" si="0"/>
        <v>Olaus Jorgensen</v>
      </c>
      <c r="E59" s="21" t="str">
        <f t="shared" si="1"/>
        <v>Abelseth</v>
      </c>
      <c r="F59" s="21" t="str">
        <f t="shared" si="2"/>
        <v>Mr. Olaus Jorgensen Abelseth</v>
      </c>
      <c r="G59" s="21" t="str">
        <f>PROPER(Titanic_raw!E59)</f>
        <v>Male</v>
      </c>
    </row>
    <row r="60" spans="1:7" x14ac:dyDescent="0.2">
      <c r="A60" s="7">
        <f>Titanic_raw!A60</f>
        <v>950</v>
      </c>
      <c r="B60" s="16" t="str">
        <f>Titanic_raw!D60</f>
        <v>Davison, Mr. Thomas Henry</v>
      </c>
      <c r="C60" s="17" t="s">
        <v>609</v>
      </c>
      <c r="D60" s="18" t="str">
        <f t="shared" si="0"/>
        <v>Thomas Henry</v>
      </c>
      <c r="E60" s="17" t="str">
        <f t="shared" si="1"/>
        <v>Davison</v>
      </c>
      <c r="F60" s="17" t="str">
        <f t="shared" si="2"/>
        <v>Mr. Thomas Henry Davison</v>
      </c>
      <c r="G60" s="17" t="str">
        <f>PROPER(Titanic_raw!E60)</f>
        <v>Male</v>
      </c>
    </row>
    <row r="61" spans="1:7" x14ac:dyDescent="0.2">
      <c r="A61" s="7">
        <f>Titanic_raw!A61</f>
        <v>951</v>
      </c>
      <c r="B61" s="20" t="str">
        <f>Titanic_raw!D61</f>
        <v>Chaudanson, Miss. Victorine</v>
      </c>
      <c r="C61" s="21" t="s">
        <v>611</v>
      </c>
      <c r="D61" s="22" t="str">
        <f t="shared" si="0"/>
        <v>Victorine</v>
      </c>
      <c r="E61" s="21" t="str">
        <f t="shared" si="1"/>
        <v>Chaudanson</v>
      </c>
      <c r="F61" s="21" t="str">
        <f t="shared" si="2"/>
        <v>Miss. Victorine Chaudanson</v>
      </c>
      <c r="G61" s="21" t="str">
        <f>PROPER(Titanic_raw!E61)</f>
        <v>Female</v>
      </c>
    </row>
    <row r="62" spans="1:7" x14ac:dyDescent="0.2">
      <c r="A62" s="7">
        <f>Titanic_raw!A62</f>
        <v>952</v>
      </c>
      <c r="B62" s="16" t="str">
        <f>Titanic_raw!D62</f>
        <v>Dika, Mr. Mirko</v>
      </c>
      <c r="C62" s="17" t="s">
        <v>609</v>
      </c>
      <c r="D62" s="18" t="str">
        <f t="shared" si="0"/>
        <v>Mirko</v>
      </c>
      <c r="E62" s="17" t="str">
        <f t="shared" si="1"/>
        <v>Dika</v>
      </c>
      <c r="F62" s="17" t="str">
        <f t="shared" si="2"/>
        <v>Mr. Mirko Dika</v>
      </c>
      <c r="G62" s="17" t="str">
        <f>PROPER(Titanic_raw!E62)</f>
        <v>Male</v>
      </c>
    </row>
    <row r="63" spans="1:7" x14ac:dyDescent="0.2">
      <c r="A63" s="7">
        <f>Titanic_raw!A63</f>
        <v>953</v>
      </c>
      <c r="B63" s="20" t="str">
        <f>Titanic_raw!D63</f>
        <v>McCrae, Mr. Arthur Gordon</v>
      </c>
      <c r="C63" s="21" t="s">
        <v>609</v>
      </c>
      <c r="D63" s="22" t="str">
        <f t="shared" si="0"/>
        <v>Arthur Gordon</v>
      </c>
      <c r="E63" s="21" t="str">
        <f t="shared" si="1"/>
        <v>McCrae</v>
      </c>
      <c r="F63" s="21" t="str">
        <f t="shared" si="2"/>
        <v>Mr. Arthur Gordon McCrae</v>
      </c>
      <c r="G63" s="21" t="str">
        <f>PROPER(Titanic_raw!E63)</f>
        <v>Male</v>
      </c>
    </row>
    <row r="64" spans="1:7" x14ac:dyDescent="0.2">
      <c r="A64" s="7">
        <f>Titanic_raw!A64</f>
        <v>954</v>
      </c>
      <c r="B64" s="16" t="str">
        <f>Titanic_raw!D64</f>
        <v>Bjorklund, Mr. Ernst Herbert</v>
      </c>
      <c r="C64" s="17" t="s">
        <v>609</v>
      </c>
      <c r="D64" s="18" t="str">
        <f t="shared" si="0"/>
        <v>Ernst Herbert</v>
      </c>
      <c r="E64" s="17" t="str">
        <f t="shared" si="1"/>
        <v>Bjorklund</v>
      </c>
      <c r="F64" s="17" t="str">
        <f t="shared" si="2"/>
        <v>Mr. Ernst Herbert Bjorklund</v>
      </c>
      <c r="G64" s="17" t="str">
        <f>PROPER(Titanic_raw!E64)</f>
        <v>Male</v>
      </c>
    </row>
    <row r="65" spans="1:7" x14ac:dyDescent="0.2">
      <c r="A65" s="7">
        <f>Titanic_raw!A65</f>
        <v>955</v>
      </c>
      <c r="B65" s="20" t="str">
        <f>Titanic_raw!D65</f>
        <v>Bradley, Miss. Bridget Delia</v>
      </c>
      <c r="C65" s="21" t="s">
        <v>611</v>
      </c>
      <c r="D65" s="22" t="str">
        <f t="shared" si="0"/>
        <v>Bridget Delia</v>
      </c>
      <c r="E65" s="21" t="str">
        <f t="shared" si="1"/>
        <v>Bradley</v>
      </c>
      <c r="F65" s="21" t="str">
        <f t="shared" si="2"/>
        <v>Miss. Bridget Delia Bradley</v>
      </c>
      <c r="G65" s="21" t="str">
        <f>PROPER(Titanic_raw!E65)</f>
        <v>Female</v>
      </c>
    </row>
    <row r="66" spans="1:7" x14ac:dyDescent="0.2">
      <c r="A66" s="7">
        <f>Titanic_raw!A66</f>
        <v>956</v>
      </c>
      <c r="B66" s="16" t="str">
        <f>Titanic_raw!D66</f>
        <v>Ryerson, Master. John Borie</v>
      </c>
      <c r="C66" s="17" t="s">
        <v>612</v>
      </c>
      <c r="D66" s="18" t="str">
        <f t="shared" si="0"/>
        <v>John Borie</v>
      </c>
      <c r="E66" s="17" t="str">
        <f t="shared" si="1"/>
        <v>Ryerson</v>
      </c>
      <c r="F66" s="17" t="str">
        <f t="shared" si="2"/>
        <v>Master. John Borie Ryerson</v>
      </c>
      <c r="G66" s="17" t="str">
        <f>PROPER(Titanic_raw!E66)</f>
        <v>Male</v>
      </c>
    </row>
    <row r="67" spans="1:7" x14ac:dyDescent="0.2">
      <c r="A67" s="7">
        <f>Titanic_raw!A67</f>
        <v>957</v>
      </c>
      <c r="B67" s="20" t="str">
        <f>Titanic_raw!D67</f>
        <v>Corey, Mrs. Percy C (Mary Phyllis Elizabeth Miller)</v>
      </c>
      <c r="C67" s="21" t="s">
        <v>610</v>
      </c>
      <c r="D67" s="22" t="str">
        <f t="shared" ref="D67:D130" si="3">RIGHT(B67,LEN(B67)-FIND(".",B67)-1)</f>
        <v>Percy C (Mary Phyllis Elizabeth Miller)</v>
      </c>
      <c r="E67" s="21" t="str">
        <f t="shared" ref="E67:E130" si="4">LEFT(B67,FIND(",",B67)-1)</f>
        <v>Corey</v>
      </c>
      <c r="F67" s="21" t="str">
        <f t="shared" ref="F67:F130" si="5">CONCATENATE(C67," ",D67," ",E67)</f>
        <v>Mrs. Percy C (Mary Phyllis Elizabeth Miller) Corey</v>
      </c>
      <c r="G67" s="21" t="str">
        <f>PROPER(Titanic_raw!E67)</f>
        <v>Female</v>
      </c>
    </row>
    <row r="68" spans="1:7" x14ac:dyDescent="0.2">
      <c r="A68" s="7">
        <f>Titanic_raw!A68</f>
        <v>958</v>
      </c>
      <c r="B68" s="16" t="str">
        <f>Titanic_raw!D68</f>
        <v>Burns, Miss. Mary Delia</v>
      </c>
      <c r="C68" s="17" t="s">
        <v>611</v>
      </c>
      <c r="D68" s="18" t="str">
        <f t="shared" si="3"/>
        <v>Mary Delia</v>
      </c>
      <c r="E68" s="17" t="str">
        <f t="shared" si="4"/>
        <v>Burns</v>
      </c>
      <c r="F68" s="17" t="str">
        <f t="shared" si="5"/>
        <v>Miss. Mary Delia Burns</v>
      </c>
      <c r="G68" s="17" t="str">
        <f>PROPER(Titanic_raw!E68)</f>
        <v>Female</v>
      </c>
    </row>
    <row r="69" spans="1:7" x14ac:dyDescent="0.2">
      <c r="A69" s="7">
        <f>Titanic_raw!A69</f>
        <v>959</v>
      </c>
      <c r="B69" s="20" t="str">
        <f>Titanic_raw!D69</f>
        <v>Moore, Mr. Clarence Bloomfield</v>
      </c>
      <c r="C69" s="21" t="s">
        <v>609</v>
      </c>
      <c r="D69" s="22" t="str">
        <f t="shared" si="3"/>
        <v>Clarence Bloomfield</v>
      </c>
      <c r="E69" s="21" t="str">
        <f t="shared" si="4"/>
        <v>Moore</v>
      </c>
      <c r="F69" s="21" t="str">
        <f t="shared" si="5"/>
        <v>Mr. Clarence Bloomfield Moore</v>
      </c>
      <c r="G69" s="21" t="str">
        <f>PROPER(Titanic_raw!E69)</f>
        <v>Male</v>
      </c>
    </row>
    <row r="70" spans="1:7" x14ac:dyDescent="0.2">
      <c r="A70" s="7">
        <f>Titanic_raw!A70</f>
        <v>960</v>
      </c>
      <c r="B70" s="16" t="str">
        <f>Titanic_raw!D70</f>
        <v>Tucker, Mr. Gilbert Milligan Jr</v>
      </c>
      <c r="C70" s="17" t="s">
        <v>609</v>
      </c>
      <c r="D70" s="18" t="str">
        <f t="shared" si="3"/>
        <v>Gilbert Milligan Jr</v>
      </c>
      <c r="E70" s="17" t="str">
        <f t="shared" si="4"/>
        <v>Tucker</v>
      </c>
      <c r="F70" s="17" t="str">
        <f t="shared" si="5"/>
        <v>Mr. Gilbert Milligan Jr Tucker</v>
      </c>
      <c r="G70" s="17" t="str">
        <f>PROPER(Titanic_raw!E70)</f>
        <v>Male</v>
      </c>
    </row>
    <row r="71" spans="1:7" x14ac:dyDescent="0.2">
      <c r="A71" s="7">
        <f>Titanic_raw!A71</f>
        <v>961</v>
      </c>
      <c r="B71" s="20" t="str">
        <f>Titanic_raw!D71</f>
        <v>Fortune, Mrs. Mark (Mary McDougald)</v>
      </c>
      <c r="C71" s="21" t="s">
        <v>610</v>
      </c>
      <c r="D71" s="22" t="str">
        <f t="shared" si="3"/>
        <v>Mark (Mary McDougald)</v>
      </c>
      <c r="E71" s="21" t="str">
        <f t="shared" si="4"/>
        <v>Fortune</v>
      </c>
      <c r="F71" s="21" t="str">
        <f t="shared" si="5"/>
        <v>Mrs. Mark (Mary McDougald) Fortune</v>
      </c>
      <c r="G71" s="21" t="str">
        <f>PROPER(Titanic_raw!E71)</f>
        <v>Female</v>
      </c>
    </row>
    <row r="72" spans="1:7" x14ac:dyDescent="0.2">
      <c r="A72" s="7">
        <f>Titanic_raw!A72</f>
        <v>962</v>
      </c>
      <c r="B72" s="16" t="str">
        <f>Titanic_raw!D72</f>
        <v>Mulvihill, Miss. Bertha E</v>
      </c>
      <c r="C72" s="17" t="s">
        <v>611</v>
      </c>
      <c r="D72" s="18" t="str">
        <f t="shared" si="3"/>
        <v>Bertha E</v>
      </c>
      <c r="E72" s="17" t="str">
        <f t="shared" si="4"/>
        <v>Mulvihill</v>
      </c>
      <c r="F72" s="17" t="str">
        <f t="shared" si="5"/>
        <v>Miss. Bertha E Mulvihill</v>
      </c>
      <c r="G72" s="17" t="str">
        <f>PROPER(Titanic_raw!E72)</f>
        <v>Female</v>
      </c>
    </row>
    <row r="73" spans="1:7" x14ac:dyDescent="0.2">
      <c r="A73" s="7">
        <f>Titanic_raw!A73</f>
        <v>963</v>
      </c>
      <c r="B73" s="20" t="str">
        <f>Titanic_raw!D73</f>
        <v>Minkoff, Mr. Lazar</v>
      </c>
      <c r="C73" s="21" t="s">
        <v>609</v>
      </c>
      <c r="D73" s="22" t="str">
        <f t="shared" si="3"/>
        <v>Lazar</v>
      </c>
      <c r="E73" s="21" t="str">
        <f t="shared" si="4"/>
        <v>Minkoff</v>
      </c>
      <c r="F73" s="21" t="str">
        <f t="shared" si="5"/>
        <v>Mr. Lazar Minkoff</v>
      </c>
      <c r="G73" s="21" t="str">
        <f>PROPER(Titanic_raw!E73)</f>
        <v>Male</v>
      </c>
    </row>
    <row r="74" spans="1:7" x14ac:dyDescent="0.2">
      <c r="A74" s="7">
        <f>Titanic_raw!A74</f>
        <v>964</v>
      </c>
      <c r="B74" s="16" t="str">
        <f>Titanic_raw!D74</f>
        <v>Nieminen, Miss. Manta Josefina</v>
      </c>
      <c r="C74" s="17" t="s">
        <v>611</v>
      </c>
      <c r="D74" s="18" t="str">
        <f t="shared" si="3"/>
        <v>Manta Josefina</v>
      </c>
      <c r="E74" s="17" t="str">
        <f t="shared" si="4"/>
        <v>Nieminen</v>
      </c>
      <c r="F74" s="17" t="str">
        <f t="shared" si="5"/>
        <v>Miss. Manta Josefina Nieminen</v>
      </c>
      <c r="G74" s="17" t="str">
        <f>PROPER(Titanic_raw!E74)</f>
        <v>Female</v>
      </c>
    </row>
    <row r="75" spans="1:7" x14ac:dyDescent="0.2">
      <c r="A75" s="7">
        <f>Titanic_raw!A75</f>
        <v>965</v>
      </c>
      <c r="B75" s="20" t="str">
        <f>Titanic_raw!D75</f>
        <v>Ovies y Rodriguez, Mr. Servando</v>
      </c>
      <c r="C75" s="21" t="s">
        <v>609</v>
      </c>
      <c r="D75" s="22" t="str">
        <f t="shared" si="3"/>
        <v>Servando</v>
      </c>
      <c r="E75" s="21" t="str">
        <f t="shared" si="4"/>
        <v>Ovies y Rodriguez</v>
      </c>
      <c r="F75" s="21" t="str">
        <f t="shared" si="5"/>
        <v>Mr. Servando Ovies y Rodriguez</v>
      </c>
      <c r="G75" s="21" t="str">
        <f>PROPER(Titanic_raw!E75)</f>
        <v>Male</v>
      </c>
    </row>
    <row r="76" spans="1:7" x14ac:dyDescent="0.2">
      <c r="A76" s="7">
        <f>Titanic_raw!A76</f>
        <v>966</v>
      </c>
      <c r="B76" s="16" t="str">
        <f>Titanic_raw!D76</f>
        <v>Geiger, Miss. Amalie</v>
      </c>
      <c r="C76" s="17" t="s">
        <v>611</v>
      </c>
      <c r="D76" s="18" t="str">
        <f t="shared" si="3"/>
        <v>Amalie</v>
      </c>
      <c r="E76" s="17" t="str">
        <f t="shared" si="4"/>
        <v>Geiger</v>
      </c>
      <c r="F76" s="17" t="str">
        <f t="shared" si="5"/>
        <v>Miss. Amalie Geiger</v>
      </c>
      <c r="G76" s="17" t="str">
        <f>PROPER(Titanic_raw!E76)</f>
        <v>Female</v>
      </c>
    </row>
    <row r="77" spans="1:7" x14ac:dyDescent="0.2">
      <c r="A77" s="7">
        <f>Titanic_raw!A77</f>
        <v>967</v>
      </c>
      <c r="B77" s="20" t="str">
        <f>Titanic_raw!D77</f>
        <v>Keeping, Mr. Edwin</v>
      </c>
      <c r="C77" s="21" t="s">
        <v>609</v>
      </c>
      <c r="D77" s="22" t="str">
        <f t="shared" si="3"/>
        <v>Edwin</v>
      </c>
      <c r="E77" s="21" t="str">
        <f t="shared" si="4"/>
        <v>Keeping</v>
      </c>
      <c r="F77" s="21" t="str">
        <f t="shared" si="5"/>
        <v>Mr. Edwin Keeping</v>
      </c>
      <c r="G77" s="21" t="str">
        <f>PROPER(Titanic_raw!E77)</f>
        <v>Male</v>
      </c>
    </row>
    <row r="78" spans="1:7" x14ac:dyDescent="0.2">
      <c r="A78" s="7">
        <f>Titanic_raw!A78</f>
        <v>968</v>
      </c>
      <c r="B78" s="16" t="str">
        <f>Titanic_raw!D78</f>
        <v>Miles, Mr. Frank</v>
      </c>
      <c r="C78" s="17" t="s">
        <v>609</v>
      </c>
      <c r="D78" s="18" t="str">
        <f t="shared" si="3"/>
        <v>Frank</v>
      </c>
      <c r="E78" s="17" t="str">
        <f t="shared" si="4"/>
        <v>Miles</v>
      </c>
      <c r="F78" s="17" t="str">
        <f t="shared" si="5"/>
        <v>Mr. Frank Miles</v>
      </c>
      <c r="G78" s="17" t="str">
        <f>PROPER(Titanic_raw!E78)</f>
        <v>Male</v>
      </c>
    </row>
    <row r="79" spans="1:7" x14ac:dyDescent="0.2">
      <c r="A79" s="7">
        <f>Titanic_raw!A79</f>
        <v>969</v>
      </c>
      <c r="B79" s="20" t="str">
        <f>Titanic_raw!D79</f>
        <v>Cornell, Mrs. Robert Clifford (Malvina Helen Lamson)</v>
      </c>
      <c r="C79" s="21" t="s">
        <v>610</v>
      </c>
      <c r="D79" s="22" t="str">
        <f t="shared" si="3"/>
        <v>Robert Clifford (Malvina Helen Lamson)</v>
      </c>
      <c r="E79" s="21" t="str">
        <f t="shared" si="4"/>
        <v>Cornell</v>
      </c>
      <c r="F79" s="21" t="str">
        <f t="shared" si="5"/>
        <v>Mrs. Robert Clifford (Malvina Helen Lamson) Cornell</v>
      </c>
      <c r="G79" s="21" t="str">
        <f>PROPER(Titanic_raw!E79)</f>
        <v>Female</v>
      </c>
    </row>
    <row r="80" spans="1:7" x14ac:dyDescent="0.2">
      <c r="A80" s="7">
        <f>Titanic_raw!A80</f>
        <v>970</v>
      </c>
      <c r="B80" s="16" t="str">
        <f>Titanic_raw!D80</f>
        <v>Aldworth, Mr. Charles Augustus</v>
      </c>
      <c r="C80" s="17" t="s">
        <v>609</v>
      </c>
      <c r="D80" s="18" t="str">
        <f t="shared" si="3"/>
        <v>Charles Augustus</v>
      </c>
      <c r="E80" s="17" t="str">
        <f t="shared" si="4"/>
        <v>Aldworth</v>
      </c>
      <c r="F80" s="17" t="str">
        <f t="shared" si="5"/>
        <v>Mr. Charles Augustus Aldworth</v>
      </c>
      <c r="G80" s="17" t="str">
        <f>PROPER(Titanic_raw!E80)</f>
        <v>Male</v>
      </c>
    </row>
    <row r="81" spans="1:7" x14ac:dyDescent="0.2">
      <c r="A81" s="7">
        <f>Titanic_raw!A81</f>
        <v>971</v>
      </c>
      <c r="B81" s="20" t="str">
        <f>Titanic_raw!D81</f>
        <v>Doyle, Miss. Elizabeth</v>
      </c>
      <c r="C81" s="21" t="s">
        <v>611</v>
      </c>
      <c r="D81" s="22" t="str">
        <f t="shared" si="3"/>
        <v>Elizabeth</v>
      </c>
      <c r="E81" s="21" t="str">
        <f t="shared" si="4"/>
        <v>Doyle</v>
      </c>
      <c r="F81" s="21" t="str">
        <f t="shared" si="5"/>
        <v>Miss. Elizabeth Doyle</v>
      </c>
      <c r="G81" s="21" t="str">
        <f>PROPER(Titanic_raw!E81)</f>
        <v>Female</v>
      </c>
    </row>
    <row r="82" spans="1:7" x14ac:dyDescent="0.2">
      <c r="A82" s="7">
        <f>Titanic_raw!A82</f>
        <v>972</v>
      </c>
      <c r="B82" s="16" t="str">
        <f>Titanic_raw!D82</f>
        <v>Boulos, Master. Akar</v>
      </c>
      <c r="C82" s="17" t="s">
        <v>612</v>
      </c>
      <c r="D82" s="18" t="str">
        <f t="shared" si="3"/>
        <v>Akar</v>
      </c>
      <c r="E82" s="17" t="str">
        <f t="shared" si="4"/>
        <v>Boulos</v>
      </c>
      <c r="F82" s="17" t="str">
        <f t="shared" si="5"/>
        <v>Master. Akar Boulos</v>
      </c>
      <c r="G82" s="17" t="str">
        <f>PROPER(Titanic_raw!E82)</f>
        <v>Male</v>
      </c>
    </row>
    <row r="83" spans="1:7" x14ac:dyDescent="0.2">
      <c r="A83" s="7">
        <f>Titanic_raw!A83</f>
        <v>973</v>
      </c>
      <c r="B83" s="20" t="str">
        <f>Titanic_raw!D83</f>
        <v>Straus, Mr. Isidor</v>
      </c>
      <c r="C83" s="21" t="s">
        <v>609</v>
      </c>
      <c r="D83" s="22" t="str">
        <f t="shared" si="3"/>
        <v>Isidor</v>
      </c>
      <c r="E83" s="21" t="str">
        <f t="shared" si="4"/>
        <v>Straus</v>
      </c>
      <c r="F83" s="21" t="str">
        <f t="shared" si="5"/>
        <v>Mr. Isidor Straus</v>
      </c>
      <c r="G83" s="21" t="str">
        <f>PROPER(Titanic_raw!E83)</f>
        <v>Male</v>
      </c>
    </row>
    <row r="84" spans="1:7" x14ac:dyDescent="0.2">
      <c r="A84" s="7">
        <f>Titanic_raw!A84</f>
        <v>974</v>
      </c>
      <c r="B84" s="16" t="str">
        <f>Titanic_raw!D84</f>
        <v>Case, Mr. Howard Brown</v>
      </c>
      <c r="C84" s="17" t="s">
        <v>609</v>
      </c>
      <c r="D84" s="18" t="str">
        <f t="shared" si="3"/>
        <v>Howard Brown</v>
      </c>
      <c r="E84" s="17" t="str">
        <f t="shared" si="4"/>
        <v>Case</v>
      </c>
      <c r="F84" s="17" t="str">
        <f t="shared" si="5"/>
        <v>Mr. Howard Brown Case</v>
      </c>
      <c r="G84" s="17" t="str">
        <f>PROPER(Titanic_raw!E84)</f>
        <v>Male</v>
      </c>
    </row>
    <row r="85" spans="1:7" x14ac:dyDescent="0.2">
      <c r="A85" s="7">
        <f>Titanic_raw!A85</f>
        <v>975</v>
      </c>
      <c r="B85" s="20" t="str">
        <f>Titanic_raw!D85</f>
        <v>Demetri, Mr. Marinko</v>
      </c>
      <c r="C85" s="21" t="s">
        <v>609</v>
      </c>
      <c r="D85" s="22" t="str">
        <f t="shared" si="3"/>
        <v>Marinko</v>
      </c>
      <c r="E85" s="21" t="str">
        <f t="shared" si="4"/>
        <v>Demetri</v>
      </c>
      <c r="F85" s="21" t="str">
        <f t="shared" si="5"/>
        <v>Mr. Marinko Demetri</v>
      </c>
      <c r="G85" s="21" t="str">
        <f>PROPER(Titanic_raw!E85)</f>
        <v>Male</v>
      </c>
    </row>
    <row r="86" spans="1:7" x14ac:dyDescent="0.2">
      <c r="A86" s="7">
        <f>Titanic_raw!A86</f>
        <v>976</v>
      </c>
      <c r="B86" s="16" t="str">
        <f>Titanic_raw!D86</f>
        <v>Lamb, Mr. John Joseph</v>
      </c>
      <c r="C86" s="17" t="s">
        <v>609</v>
      </c>
      <c r="D86" s="18" t="str">
        <f t="shared" si="3"/>
        <v>John Joseph</v>
      </c>
      <c r="E86" s="17" t="str">
        <f t="shared" si="4"/>
        <v>Lamb</v>
      </c>
      <c r="F86" s="17" t="str">
        <f t="shared" si="5"/>
        <v>Mr. John Joseph Lamb</v>
      </c>
      <c r="G86" s="17" t="str">
        <f>PROPER(Titanic_raw!E86)</f>
        <v>Male</v>
      </c>
    </row>
    <row r="87" spans="1:7" x14ac:dyDescent="0.2">
      <c r="A87" s="7">
        <f>Titanic_raw!A87</f>
        <v>977</v>
      </c>
      <c r="B87" s="20" t="str">
        <f>Titanic_raw!D87</f>
        <v>Khalil, Mr. Betros</v>
      </c>
      <c r="C87" s="21" t="s">
        <v>609</v>
      </c>
      <c r="D87" s="22" t="str">
        <f t="shared" si="3"/>
        <v>Betros</v>
      </c>
      <c r="E87" s="21" t="str">
        <f t="shared" si="4"/>
        <v>Khalil</v>
      </c>
      <c r="F87" s="21" t="str">
        <f t="shared" si="5"/>
        <v>Mr. Betros Khalil</v>
      </c>
      <c r="G87" s="21" t="str">
        <f>PROPER(Titanic_raw!E87)</f>
        <v>Male</v>
      </c>
    </row>
    <row r="88" spans="1:7" x14ac:dyDescent="0.2">
      <c r="A88" s="7">
        <f>Titanic_raw!A88</f>
        <v>978</v>
      </c>
      <c r="B88" s="16" t="str">
        <f>Titanic_raw!D88</f>
        <v>Barry, Miss. Julia</v>
      </c>
      <c r="C88" s="17" t="s">
        <v>611</v>
      </c>
      <c r="D88" s="18" t="str">
        <f t="shared" si="3"/>
        <v>Julia</v>
      </c>
      <c r="E88" s="17" t="str">
        <f t="shared" si="4"/>
        <v>Barry</v>
      </c>
      <c r="F88" s="17" t="str">
        <f t="shared" si="5"/>
        <v>Miss. Julia Barry</v>
      </c>
      <c r="G88" s="17" t="str">
        <f>PROPER(Titanic_raw!E88)</f>
        <v>Female</v>
      </c>
    </row>
    <row r="89" spans="1:7" x14ac:dyDescent="0.2">
      <c r="A89" s="7">
        <f>Titanic_raw!A89</f>
        <v>979</v>
      </c>
      <c r="B89" s="20" t="str">
        <f>Titanic_raw!D89</f>
        <v>Badman, Miss. Emily Louisa</v>
      </c>
      <c r="C89" s="21" t="s">
        <v>611</v>
      </c>
      <c r="D89" s="22" t="str">
        <f t="shared" si="3"/>
        <v>Emily Louisa</v>
      </c>
      <c r="E89" s="21" t="str">
        <f t="shared" si="4"/>
        <v>Badman</v>
      </c>
      <c r="F89" s="21" t="str">
        <f t="shared" si="5"/>
        <v>Miss. Emily Louisa Badman</v>
      </c>
      <c r="G89" s="21" t="str">
        <f>PROPER(Titanic_raw!E89)</f>
        <v>Female</v>
      </c>
    </row>
    <row r="90" spans="1:7" x14ac:dyDescent="0.2">
      <c r="A90" s="7">
        <f>Titanic_raw!A90</f>
        <v>980</v>
      </c>
      <c r="B90" s="16" t="str">
        <f>Titanic_raw!D90</f>
        <v>O'Donoghue, Ms. Bridget</v>
      </c>
      <c r="C90" s="17" t="s">
        <v>613</v>
      </c>
      <c r="D90" s="18" t="str">
        <f t="shared" si="3"/>
        <v>Bridget</v>
      </c>
      <c r="E90" s="17" t="str">
        <f t="shared" si="4"/>
        <v>O'Donoghue</v>
      </c>
      <c r="F90" s="17" t="str">
        <f t="shared" si="5"/>
        <v>Ms. Bridget O'Donoghue</v>
      </c>
      <c r="G90" s="17" t="str">
        <f>PROPER(Titanic_raw!E90)</f>
        <v>Female</v>
      </c>
    </row>
    <row r="91" spans="1:7" x14ac:dyDescent="0.2">
      <c r="A91" s="7">
        <f>Titanic_raw!A91</f>
        <v>981</v>
      </c>
      <c r="B91" s="20" t="str">
        <f>Titanic_raw!D91</f>
        <v>Wells, Master. Ralph Lester</v>
      </c>
      <c r="C91" s="21" t="s">
        <v>612</v>
      </c>
      <c r="D91" s="22" t="str">
        <f t="shared" si="3"/>
        <v>Ralph Lester</v>
      </c>
      <c r="E91" s="21" t="str">
        <f t="shared" si="4"/>
        <v>Wells</v>
      </c>
      <c r="F91" s="21" t="str">
        <f t="shared" si="5"/>
        <v>Master. Ralph Lester Wells</v>
      </c>
      <c r="G91" s="21" t="str">
        <f>PROPER(Titanic_raw!E91)</f>
        <v>Male</v>
      </c>
    </row>
    <row r="92" spans="1:7" x14ac:dyDescent="0.2">
      <c r="A92" s="7">
        <f>Titanic_raw!A92</f>
        <v>982</v>
      </c>
      <c r="B92" s="16" t="str">
        <f>Titanic_raw!D92</f>
        <v>Dyker, Mrs. Adolf Fredrik (Anna Elisabeth Judith Andersson)</v>
      </c>
      <c r="C92" s="17" t="s">
        <v>610</v>
      </c>
      <c r="D92" s="18" t="str">
        <f t="shared" si="3"/>
        <v>Adolf Fredrik (Anna Elisabeth Judith Andersson)</v>
      </c>
      <c r="E92" s="17" t="str">
        <f t="shared" si="4"/>
        <v>Dyker</v>
      </c>
      <c r="F92" s="17" t="str">
        <f t="shared" si="5"/>
        <v>Mrs. Adolf Fredrik (Anna Elisabeth Judith Andersson) Dyker</v>
      </c>
      <c r="G92" s="17" t="str">
        <f>PROPER(Titanic_raw!E92)</f>
        <v>Female</v>
      </c>
    </row>
    <row r="93" spans="1:7" x14ac:dyDescent="0.2">
      <c r="A93" s="7">
        <f>Titanic_raw!A93</f>
        <v>983</v>
      </c>
      <c r="B93" s="20" t="str">
        <f>Titanic_raw!D93</f>
        <v>Pedersen, Mr. Olaf</v>
      </c>
      <c r="C93" s="21" t="s">
        <v>609</v>
      </c>
      <c r="D93" s="22" t="str">
        <f t="shared" si="3"/>
        <v>Olaf</v>
      </c>
      <c r="E93" s="21" t="str">
        <f t="shared" si="4"/>
        <v>Pedersen</v>
      </c>
      <c r="F93" s="21" t="str">
        <f t="shared" si="5"/>
        <v>Mr. Olaf Pedersen</v>
      </c>
      <c r="G93" s="21" t="str">
        <f>PROPER(Titanic_raw!E93)</f>
        <v>Male</v>
      </c>
    </row>
    <row r="94" spans="1:7" x14ac:dyDescent="0.2">
      <c r="A94" s="7">
        <f>Titanic_raw!A94</f>
        <v>984</v>
      </c>
      <c r="B94" s="16" t="str">
        <f>Titanic_raw!D94</f>
        <v>Davidson, Mrs. Thornton (Orian Hays)</v>
      </c>
      <c r="C94" s="17" t="s">
        <v>610</v>
      </c>
      <c r="D94" s="18" t="str">
        <f t="shared" si="3"/>
        <v>Thornton (Orian Hays)</v>
      </c>
      <c r="E94" s="17" t="str">
        <f t="shared" si="4"/>
        <v>Davidson</v>
      </c>
      <c r="F94" s="17" t="str">
        <f t="shared" si="5"/>
        <v>Mrs. Thornton (Orian Hays) Davidson</v>
      </c>
      <c r="G94" s="17" t="str">
        <f>PROPER(Titanic_raw!E94)</f>
        <v>Female</v>
      </c>
    </row>
    <row r="95" spans="1:7" x14ac:dyDescent="0.2">
      <c r="A95" s="7">
        <f>Titanic_raw!A95</f>
        <v>985</v>
      </c>
      <c r="B95" s="20" t="str">
        <f>Titanic_raw!D95</f>
        <v>Guest, Mr. Robert</v>
      </c>
      <c r="C95" s="21" t="s">
        <v>609</v>
      </c>
      <c r="D95" s="22" t="str">
        <f t="shared" si="3"/>
        <v>Robert</v>
      </c>
      <c r="E95" s="21" t="str">
        <f t="shared" si="4"/>
        <v>Guest</v>
      </c>
      <c r="F95" s="21" t="str">
        <f t="shared" si="5"/>
        <v>Mr. Robert Guest</v>
      </c>
      <c r="G95" s="21" t="str">
        <f>PROPER(Titanic_raw!E95)</f>
        <v>Male</v>
      </c>
    </row>
    <row r="96" spans="1:7" x14ac:dyDescent="0.2">
      <c r="A96" s="7">
        <f>Titanic_raw!A96</f>
        <v>986</v>
      </c>
      <c r="B96" s="16" t="str">
        <f>Titanic_raw!D96</f>
        <v>Birnbaum, Mr. Jakob</v>
      </c>
      <c r="C96" s="17" t="s">
        <v>609</v>
      </c>
      <c r="D96" s="18" t="str">
        <f t="shared" si="3"/>
        <v>Jakob</v>
      </c>
      <c r="E96" s="17" t="str">
        <f t="shared" si="4"/>
        <v>Birnbaum</v>
      </c>
      <c r="F96" s="17" t="str">
        <f t="shared" si="5"/>
        <v>Mr. Jakob Birnbaum</v>
      </c>
      <c r="G96" s="17" t="str">
        <f>PROPER(Titanic_raw!E96)</f>
        <v>Male</v>
      </c>
    </row>
    <row r="97" spans="1:7" x14ac:dyDescent="0.2">
      <c r="A97" s="7">
        <f>Titanic_raw!A97</f>
        <v>987</v>
      </c>
      <c r="B97" s="20" t="str">
        <f>Titanic_raw!D97</f>
        <v>Tenglin, Mr. Gunnar Isidor</v>
      </c>
      <c r="C97" s="21" t="s">
        <v>609</v>
      </c>
      <c r="D97" s="22" t="str">
        <f t="shared" si="3"/>
        <v>Gunnar Isidor</v>
      </c>
      <c r="E97" s="21" t="str">
        <f t="shared" si="4"/>
        <v>Tenglin</v>
      </c>
      <c r="F97" s="21" t="str">
        <f t="shared" si="5"/>
        <v>Mr. Gunnar Isidor Tenglin</v>
      </c>
      <c r="G97" s="21" t="str">
        <f>PROPER(Titanic_raw!E97)</f>
        <v>Male</v>
      </c>
    </row>
    <row r="98" spans="1:7" x14ac:dyDescent="0.2">
      <c r="A98" s="7">
        <f>Titanic_raw!A98</f>
        <v>988</v>
      </c>
      <c r="B98" s="16" t="str">
        <f>Titanic_raw!D98</f>
        <v>Cavendish, Mrs. Tyrell William (Julia Florence Siegel)</v>
      </c>
      <c r="C98" s="17" t="s">
        <v>610</v>
      </c>
      <c r="D98" s="18" t="str">
        <f t="shared" si="3"/>
        <v>Tyrell William (Julia Florence Siegel)</v>
      </c>
      <c r="E98" s="17" t="str">
        <f t="shared" si="4"/>
        <v>Cavendish</v>
      </c>
      <c r="F98" s="17" t="str">
        <f t="shared" si="5"/>
        <v>Mrs. Tyrell William (Julia Florence Siegel) Cavendish</v>
      </c>
      <c r="G98" s="17" t="str">
        <f>PROPER(Titanic_raw!E98)</f>
        <v>Female</v>
      </c>
    </row>
    <row r="99" spans="1:7" x14ac:dyDescent="0.2">
      <c r="A99" s="7">
        <f>Titanic_raw!A99</f>
        <v>989</v>
      </c>
      <c r="B99" s="20" t="str">
        <f>Titanic_raw!D99</f>
        <v>Makinen, Mr. Kalle Edvard</v>
      </c>
      <c r="C99" s="21" t="s">
        <v>609</v>
      </c>
      <c r="D99" s="22" t="str">
        <f t="shared" si="3"/>
        <v>Kalle Edvard</v>
      </c>
      <c r="E99" s="21" t="str">
        <f t="shared" si="4"/>
        <v>Makinen</v>
      </c>
      <c r="F99" s="21" t="str">
        <f t="shared" si="5"/>
        <v>Mr. Kalle Edvard Makinen</v>
      </c>
      <c r="G99" s="21" t="str">
        <f>PROPER(Titanic_raw!E99)</f>
        <v>Male</v>
      </c>
    </row>
    <row r="100" spans="1:7" x14ac:dyDescent="0.2">
      <c r="A100" s="7">
        <f>Titanic_raw!A100</f>
        <v>990</v>
      </c>
      <c r="B100" s="16" t="str">
        <f>Titanic_raw!D100</f>
        <v>Braf, Miss. Elin Ester Maria</v>
      </c>
      <c r="C100" s="17" t="s">
        <v>611</v>
      </c>
      <c r="D100" s="18" t="str">
        <f t="shared" si="3"/>
        <v>Elin Ester Maria</v>
      </c>
      <c r="E100" s="17" t="str">
        <f t="shared" si="4"/>
        <v>Braf</v>
      </c>
      <c r="F100" s="17" t="str">
        <f t="shared" si="5"/>
        <v>Miss. Elin Ester Maria Braf</v>
      </c>
      <c r="G100" s="17" t="str">
        <f>PROPER(Titanic_raw!E100)</f>
        <v>Female</v>
      </c>
    </row>
    <row r="101" spans="1:7" x14ac:dyDescent="0.2">
      <c r="A101" s="7">
        <f>Titanic_raw!A101</f>
        <v>991</v>
      </c>
      <c r="B101" s="20" t="str">
        <f>Titanic_raw!D101</f>
        <v>Nancarrow, Mr. William Henry</v>
      </c>
      <c r="C101" s="21" t="s">
        <v>609</v>
      </c>
      <c r="D101" s="22" t="str">
        <f t="shared" si="3"/>
        <v>William Henry</v>
      </c>
      <c r="E101" s="21" t="str">
        <f t="shared" si="4"/>
        <v>Nancarrow</v>
      </c>
      <c r="F101" s="21" t="str">
        <f t="shared" si="5"/>
        <v>Mr. William Henry Nancarrow</v>
      </c>
      <c r="G101" s="21" t="str">
        <f>PROPER(Titanic_raw!E101)</f>
        <v>Male</v>
      </c>
    </row>
    <row r="102" spans="1:7" x14ac:dyDescent="0.2">
      <c r="A102" s="7">
        <f>Titanic_raw!A102</f>
        <v>992</v>
      </c>
      <c r="B102" s="16" t="str">
        <f>Titanic_raw!D102</f>
        <v>Stengel, Mrs. Charles Emil Henry (Annie May Morris)</v>
      </c>
      <c r="C102" s="17" t="s">
        <v>610</v>
      </c>
      <c r="D102" s="18" t="str">
        <f t="shared" si="3"/>
        <v>Charles Emil Henry (Annie May Morris)</v>
      </c>
      <c r="E102" s="17" t="str">
        <f t="shared" si="4"/>
        <v>Stengel</v>
      </c>
      <c r="F102" s="17" t="str">
        <f t="shared" si="5"/>
        <v>Mrs. Charles Emil Henry (Annie May Morris) Stengel</v>
      </c>
      <c r="G102" s="17" t="str">
        <f>PROPER(Titanic_raw!E102)</f>
        <v>Female</v>
      </c>
    </row>
    <row r="103" spans="1:7" x14ac:dyDescent="0.2">
      <c r="A103" s="7">
        <f>Titanic_raw!A103</f>
        <v>993</v>
      </c>
      <c r="B103" s="20" t="str">
        <f>Titanic_raw!D103</f>
        <v>Weisz, Mr. Leopold</v>
      </c>
      <c r="C103" s="21" t="s">
        <v>609</v>
      </c>
      <c r="D103" s="22" t="str">
        <f t="shared" si="3"/>
        <v>Leopold</v>
      </c>
      <c r="E103" s="21" t="str">
        <f t="shared" si="4"/>
        <v>Weisz</v>
      </c>
      <c r="F103" s="21" t="str">
        <f t="shared" si="5"/>
        <v>Mr. Leopold Weisz</v>
      </c>
      <c r="G103" s="21" t="str">
        <f>PROPER(Titanic_raw!E103)</f>
        <v>Male</v>
      </c>
    </row>
    <row r="104" spans="1:7" x14ac:dyDescent="0.2">
      <c r="A104" s="7">
        <f>Titanic_raw!A104</f>
        <v>994</v>
      </c>
      <c r="B104" s="16" t="str">
        <f>Titanic_raw!D104</f>
        <v>Foley, Mr. William</v>
      </c>
      <c r="C104" s="17" t="s">
        <v>609</v>
      </c>
      <c r="D104" s="18" t="str">
        <f t="shared" si="3"/>
        <v>William</v>
      </c>
      <c r="E104" s="17" t="str">
        <f t="shared" si="4"/>
        <v>Foley</v>
      </c>
      <c r="F104" s="17" t="str">
        <f t="shared" si="5"/>
        <v>Mr. William Foley</v>
      </c>
      <c r="G104" s="17" t="str">
        <f>PROPER(Titanic_raw!E104)</f>
        <v>Male</v>
      </c>
    </row>
    <row r="105" spans="1:7" x14ac:dyDescent="0.2">
      <c r="A105" s="7">
        <f>Titanic_raw!A105</f>
        <v>995</v>
      </c>
      <c r="B105" s="20" t="str">
        <f>Titanic_raw!D105</f>
        <v>Johansson Palmquist, Mr. Oskar Leander</v>
      </c>
      <c r="C105" s="21" t="s">
        <v>609</v>
      </c>
      <c r="D105" s="22" t="str">
        <f t="shared" si="3"/>
        <v>Oskar Leander</v>
      </c>
      <c r="E105" s="21" t="str">
        <f t="shared" si="4"/>
        <v>Johansson Palmquist</v>
      </c>
      <c r="F105" s="21" t="str">
        <f t="shared" si="5"/>
        <v>Mr. Oskar Leander Johansson Palmquist</v>
      </c>
      <c r="G105" s="21" t="str">
        <f>PROPER(Titanic_raw!E105)</f>
        <v>Male</v>
      </c>
    </row>
    <row r="106" spans="1:7" x14ac:dyDescent="0.2">
      <c r="A106" s="7">
        <f>Titanic_raw!A106</f>
        <v>996</v>
      </c>
      <c r="B106" s="16" t="str">
        <f>Titanic_raw!D106</f>
        <v>Thomas, Mrs. Alexander (Thamine Thelma")"</v>
      </c>
      <c r="C106" s="17" t="s">
        <v>610</v>
      </c>
      <c r="D106" s="18" t="str">
        <f t="shared" si="3"/>
        <v>Alexander (Thamine Thelma")"</v>
      </c>
      <c r="E106" s="17" t="str">
        <f t="shared" si="4"/>
        <v>Thomas</v>
      </c>
      <c r="F106" s="17" t="str">
        <f t="shared" si="5"/>
        <v>Mrs. Alexander (Thamine Thelma")" Thomas</v>
      </c>
      <c r="G106" s="17" t="str">
        <f>PROPER(Titanic_raw!E106)</f>
        <v>Female</v>
      </c>
    </row>
    <row r="107" spans="1:7" x14ac:dyDescent="0.2">
      <c r="A107" s="7">
        <f>Titanic_raw!A107</f>
        <v>997</v>
      </c>
      <c r="B107" s="20" t="str">
        <f>Titanic_raw!D107</f>
        <v>Holthen, Mr. Johan Martin</v>
      </c>
      <c r="C107" s="21" t="s">
        <v>609</v>
      </c>
      <c r="D107" s="22" t="str">
        <f t="shared" si="3"/>
        <v>Johan Martin</v>
      </c>
      <c r="E107" s="21" t="str">
        <f t="shared" si="4"/>
        <v>Holthen</v>
      </c>
      <c r="F107" s="21" t="str">
        <f t="shared" si="5"/>
        <v>Mr. Johan Martin Holthen</v>
      </c>
      <c r="G107" s="21" t="str">
        <f>PROPER(Titanic_raw!E107)</f>
        <v>Male</v>
      </c>
    </row>
    <row r="108" spans="1:7" x14ac:dyDescent="0.2">
      <c r="A108" s="7">
        <f>Titanic_raw!A108</f>
        <v>998</v>
      </c>
      <c r="B108" s="16" t="str">
        <f>Titanic_raw!D108</f>
        <v>Buckley, Mr. Daniel</v>
      </c>
      <c r="C108" s="17" t="s">
        <v>609</v>
      </c>
      <c r="D108" s="18" t="str">
        <f t="shared" si="3"/>
        <v>Daniel</v>
      </c>
      <c r="E108" s="17" t="str">
        <f t="shared" si="4"/>
        <v>Buckley</v>
      </c>
      <c r="F108" s="17" t="str">
        <f t="shared" si="5"/>
        <v>Mr. Daniel Buckley</v>
      </c>
      <c r="G108" s="17" t="str">
        <f>PROPER(Titanic_raw!E108)</f>
        <v>Male</v>
      </c>
    </row>
    <row r="109" spans="1:7" x14ac:dyDescent="0.2">
      <c r="A109" s="7">
        <f>Titanic_raw!A109</f>
        <v>999</v>
      </c>
      <c r="B109" s="20" t="str">
        <f>Titanic_raw!D109</f>
        <v>Ryan, Mr. Edward</v>
      </c>
      <c r="C109" s="21" t="s">
        <v>609</v>
      </c>
      <c r="D109" s="22" t="str">
        <f t="shared" si="3"/>
        <v>Edward</v>
      </c>
      <c r="E109" s="21" t="str">
        <f t="shared" si="4"/>
        <v>Ryan</v>
      </c>
      <c r="F109" s="21" t="str">
        <f t="shared" si="5"/>
        <v>Mr. Edward Ryan</v>
      </c>
      <c r="G109" s="21" t="str">
        <f>PROPER(Titanic_raw!E109)</f>
        <v>Male</v>
      </c>
    </row>
    <row r="110" spans="1:7" x14ac:dyDescent="0.2">
      <c r="A110" s="7">
        <f>Titanic_raw!A110</f>
        <v>1000</v>
      </c>
      <c r="B110" s="16" t="str">
        <f>Titanic_raw!D110</f>
        <v>Willer, Mr. Aaron (Abi Weller")"</v>
      </c>
      <c r="C110" s="17" t="s">
        <v>609</v>
      </c>
      <c r="D110" s="18" t="str">
        <f t="shared" si="3"/>
        <v>Aaron (Abi Weller")"</v>
      </c>
      <c r="E110" s="17" t="str">
        <f t="shared" si="4"/>
        <v>Willer</v>
      </c>
      <c r="F110" s="17" t="str">
        <f t="shared" si="5"/>
        <v>Mr. Aaron (Abi Weller")" Willer</v>
      </c>
      <c r="G110" s="17" t="str">
        <f>PROPER(Titanic_raw!E110)</f>
        <v>Male</v>
      </c>
    </row>
    <row r="111" spans="1:7" x14ac:dyDescent="0.2">
      <c r="A111" s="7">
        <f>Titanic_raw!A111</f>
        <v>1001</v>
      </c>
      <c r="B111" s="20" t="str">
        <f>Titanic_raw!D111</f>
        <v>Swane, Mr. George</v>
      </c>
      <c r="C111" s="21" t="s">
        <v>609</v>
      </c>
      <c r="D111" s="22" t="str">
        <f t="shared" si="3"/>
        <v>George</v>
      </c>
      <c r="E111" s="21" t="str">
        <f t="shared" si="4"/>
        <v>Swane</v>
      </c>
      <c r="F111" s="21" t="str">
        <f t="shared" si="5"/>
        <v>Mr. George Swane</v>
      </c>
      <c r="G111" s="21" t="str">
        <f>PROPER(Titanic_raw!E111)</f>
        <v>Male</v>
      </c>
    </row>
    <row r="112" spans="1:7" x14ac:dyDescent="0.2">
      <c r="A112" s="7">
        <f>Titanic_raw!A112</f>
        <v>1002</v>
      </c>
      <c r="B112" s="16" t="str">
        <f>Titanic_raw!D112</f>
        <v>Stanton, Mr. Samuel Ward</v>
      </c>
      <c r="C112" s="17" t="s">
        <v>609</v>
      </c>
      <c r="D112" s="18" t="str">
        <f t="shared" si="3"/>
        <v>Samuel Ward</v>
      </c>
      <c r="E112" s="17" t="str">
        <f t="shared" si="4"/>
        <v>Stanton</v>
      </c>
      <c r="F112" s="17" t="str">
        <f t="shared" si="5"/>
        <v>Mr. Samuel Ward Stanton</v>
      </c>
      <c r="G112" s="17" t="str">
        <f>PROPER(Titanic_raw!E112)</f>
        <v>Male</v>
      </c>
    </row>
    <row r="113" spans="1:7" x14ac:dyDescent="0.2">
      <c r="A113" s="7">
        <f>Titanic_raw!A113</f>
        <v>1003</v>
      </c>
      <c r="B113" s="20" t="str">
        <f>Titanic_raw!D113</f>
        <v>Shine, Miss. Ellen Natalia</v>
      </c>
      <c r="C113" s="21" t="s">
        <v>611</v>
      </c>
      <c r="D113" s="22" t="str">
        <f t="shared" si="3"/>
        <v>Ellen Natalia</v>
      </c>
      <c r="E113" s="21" t="str">
        <f t="shared" si="4"/>
        <v>Shine</v>
      </c>
      <c r="F113" s="21" t="str">
        <f t="shared" si="5"/>
        <v>Miss. Ellen Natalia Shine</v>
      </c>
      <c r="G113" s="21" t="str">
        <f>PROPER(Titanic_raw!E113)</f>
        <v>Female</v>
      </c>
    </row>
    <row r="114" spans="1:7" x14ac:dyDescent="0.2">
      <c r="A114" s="7">
        <f>Titanic_raw!A114</f>
        <v>1004</v>
      </c>
      <c r="B114" s="16" t="str">
        <f>Titanic_raw!D114</f>
        <v>Evans, Miss. Edith Corse</v>
      </c>
      <c r="C114" s="17" t="s">
        <v>611</v>
      </c>
      <c r="D114" s="18" t="str">
        <f t="shared" si="3"/>
        <v>Edith Corse</v>
      </c>
      <c r="E114" s="17" t="str">
        <f t="shared" si="4"/>
        <v>Evans</v>
      </c>
      <c r="F114" s="17" t="str">
        <f t="shared" si="5"/>
        <v>Miss. Edith Corse Evans</v>
      </c>
      <c r="G114" s="17" t="str">
        <f>PROPER(Titanic_raw!E114)</f>
        <v>Female</v>
      </c>
    </row>
    <row r="115" spans="1:7" x14ac:dyDescent="0.2">
      <c r="A115" s="7">
        <f>Titanic_raw!A115</f>
        <v>1005</v>
      </c>
      <c r="B115" s="20" t="str">
        <f>Titanic_raw!D115</f>
        <v>Buckley, Miss. Katherine</v>
      </c>
      <c r="C115" s="21" t="s">
        <v>611</v>
      </c>
      <c r="D115" s="22" t="str">
        <f t="shared" si="3"/>
        <v>Katherine</v>
      </c>
      <c r="E115" s="21" t="str">
        <f t="shared" si="4"/>
        <v>Buckley</v>
      </c>
      <c r="F115" s="21" t="str">
        <f t="shared" si="5"/>
        <v>Miss. Katherine Buckley</v>
      </c>
      <c r="G115" s="21" t="str">
        <f>PROPER(Titanic_raw!E115)</f>
        <v>Female</v>
      </c>
    </row>
    <row r="116" spans="1:7" x14ac:dyDescent="0.2">
      <c r="A116" s="7">
        <f>Titanic_raw!A116</f>
        <v>1006</v>
      </c>
      <c r="B116" s="16" t="str">
        <f>Titanic_raw!D116</f>
        <v>Straus, Mrs. Isidor (Rosalie Ida Blun)</v>
      </c>
      <c r="C116" s="17" t="s">
        <v>610</v>
      </c>
      <c r="D116" s="18" t="str">
        <f t="shared" si="3"/>
        <v>Isidor (Rosalie Ida Blun)</v>
      </c>
      <c r="E116" s="17" t="str">
        <f t="shared" si="4"/>
        <v>Straus</v>
      </c>
      <c r="F116" s="17" t="str">
        <f t="shared" si="5"/>
        <v>Mrs. Isidor (Rosalie Ida Blun) Straus</v>
      </c>
      <c r="G116" s="17" t="str">
        <f>PROPER(Titanic_raw!E116)</f>
        <v>Female</v>
      </c>
    </row>
    <row r="117" spans="1:7" x14ac:dyDescent="0.2">
      <c r="A117" s="7">
        <f>Titanic_raw!A117</f>
        <v>1007</v>
      </c>
      <c r="B117" s="20" t="str">
        <f>Titanic_raw!D117</f>
        <v>Chronopoulos, Mr. Demetrios</v>
      </c>
      <c r="C117" s="21" t="s">
        <v>609</v>
      </c>
      <c r="D117" s="22" t="str">
        <f t="shared" si="3"/>
        <v>Demetrios</v>
      </c>
      <c r="E117" s="21" t="str">
        <f t="shared" si="4"/>
        <v>Chronopoulos</v>
      </c>
      <c r="F117" s="21" t="str">
        <f t="shared" si="5"/>
        <v>Mr. Demetrios Chronopoulos</v>
      </c>
      <c r="G117" s="21" t="str">
        <f>PROPER(Titanic_raw!E117)</f>
        <v>Male</v>
      </c>
    </row>
    <row r="118" spans="1:7" x14ac:dyDescent="0.2">
      <c r="A118" s="7">
        <f>Titanic_raw!A118</f>
        <v>1008</v>
      </c>
      <c r="B118" s="16" t="str">
        <f>Titanic_raw!D118</f>
        <v>Thomas, Mr. John</v>
      </c>
      <c r="C118" s="17" t="s">
        <v>609</v>
      </c>
      <c r="D118" s="18" t="str">
        <f t="shared" si="3"/>
        <v>John</v>
      </c>
      <c r="E118" s="17" t="str">
        <f t="shared" si="4"/>
        <v>Thomas</v>
      </c>
      <c r="F118" s="17" t="str">
        <f t="shared" si="5"/>
        <v>Mr. John Thomas</v>
      </c>
      <c r="G118" s="17" t="str">
        <f>PROPER(Titanic_raw!E118)</f>
        <v>Male</v>
      </c>
    </row>
    <row r="119" spans="1:7" x14ac:dyDescent="0.2">
      <c r="A119" s="7">
        <f>Titanic_raw!A119</f>
        <v>1009</v>
      </c>
      <c r="B119" s="20" t="str">
        <f>Titanic_raw!D119</f>
        <v>Sandstrom, Miss. Beatrice Irene</v>
      </c>
      <c r="C119" s="21" t="s">
        <v>611</v>
      </c>
      <c r="D119" s="22" t="str">
        <f t="shared" si="3"/>
        <v>Beatrice Irene</v>
      </c>
      <c r="E119" s="21" t="str">
        <f t="shared" si="4"/>
        <v>Sandstrom</v>
      </c>
      <c r="F119" s="21" t="str">
        <f t="shared" si="5"/>
        <v>Miss. Beatrice Irene Sandstrom</v>
      </c>
      <c r="G119" s="21" t="str">
        <f>PROPER(Titanic_raw!E119)</f>
        <v>Female</v>
      </c>
    </row>
    <row r="120" spans="1:7" x14ac:dyDescent="0.2">
      <c r="A120" s="7">
        <f>Titanic_raw!A120</f>
        <v>1010</v>
      </c>
      <c r="B120" s="16" t="str">
        <f>Titanic_raw!D120</f>
        <v>Beattie, Mr. Thomson</v>
      </c>
      <c r="C120" s="17" t="s">
        <v>609</v>
      </c>
      <c r="D120" s="18" t="str">
        <f t="shared" si="3"/>
        <v>Thomson</v>
      </c>
      <c r="E120" s="17" t="str">
        <f t="shared" si="4"/>
        <v>Beattie</v>
      </c>
      <c r="F120" s="17" t="str">
        <f t="shared" si="5"/>
        <v>Mr. Thomson Beattie</v>
      </c>
      <c r="G120" s="17" t="str">
        <f>PROPER(Titanic_raw!E120)</f>
        <v>Male</v>
      </c>
    </row>
    <row r="121" spans="1:7" x14ac:dyDescent="0.2">
      <c r="A121" s="7">
        <f>Titanic_raw!A121</f>
        <v>1011</v>
      </c>
      <c r="B121" s="20" t="str">
        <f>Titanic_raw!D121</f>
        <v>Chapman, Mrs. John Henry (Sara Elizabeth Lawry)</v>
      </c>
      <c r="C121" s="21" t="s">
        <v>610</v>
      </c>
      <c r="D121" s="22" t="str">
        <f t="shared" si="3"/>
        <v>John Henry (Sara Elizabeth Lawry)</v>
      </c>
      <c r="E121" s="21" t="str">
        <f t="shared" si="4"/>
        <v>Chapman</v>
      </c>
      <c r="F121" s="21" t="str">
        <f t="shared" si="5"/>
        <v>Mrs. John Henry (Sara Elizabeth Lawry) Chapman</v>
      </c>
      <c r="G121" s="21" t="str">
        <f>PROPER(Titanic_raw!E121)</f>
        <v>Female</v>
      </c>
    </row>
    <row r="122" spans="1:7" x14ac:dyDescent="0.2">
      <c r="A122" s="7">
        <f>Titanic_raw!A122</f>
        <v>1012</v>
      </c>
      <c r="B122" s="16" t="str">
        <f>Titanic_raw!D122</f>
        <v>Watt, Miss. Bertha J</v>
      </c>
      <c r="C122" s="17" t="s">
        <v>611</v>
      </c>
      <c r="D122" s="18" t="str">
        <f t="shared" si="3"/>
        <v>Bertha J</v>
      </c>
      <c r="E122" s="17" t="str">
        <f t="shared" si="4"/>
        <v>Watt</v>
      </c>
      <c r="F122" s="17" t="str">
        <f t="shared" si="5"/>
        <v>Miss. Bertha J Watt</v>
      </c>
      <c r="G122" s="17" t="str">
        <f>PROPER(Titanic_raw!E122)</f>
        <v>Female</v>
      </c>
    </row>
    <row r="123" spans="1:7" x14ac:dyDescent="0.2">
      <c r="A123" s="7">
        <f>Titanic_raw!A123</f>
        <v>1013</v>
      </c>
      <c r="B123" s="20" t="str">
        <f>Titanic_raw!D123</f>
        <v>Kiernan, Mr. John</v>
      </c>
      <c r="C123" s="21" t="s">
        <v>609</v>
      </c>
      <c r="D123" s="22" t="str">
        <f t="shared" si="3"/>
        <v>John</v>
      </c>
      <c r="E123" s="21" t="str">
        <f t="shared" si="4"/>
        <v>Kiernan</v>
      </c>
      <c r="F123" s="21" t="str">
        <f t="shared" si="5"/>
        <v>Mr. John Kiernan</v>
      </c>
      <c r="G123" s="21" t="str">
        <f>PROPER(Titanic_raw!E123)</f>
        <v>Male</v>
      </c>
    </row>
    <row r="124" spans="1:7" x14ac:dyDescent="0.2">
      <c r="A124" s="7">
        <f>Titanic_raw!A124</f>
        <v>1014</v>
      </c>
      <c r="B124" s="16" t="str">
        <f>Titanic_raw!D124</f>
        <v>Schabert, Mrs. Paul (Emma Mock)</v>
      </c>
      <c r="C124" s="17" t="s">
        <v>610</v>
      </c>
      <c r="D124" s="18" t="str">
        <f t="shared" si="3"/>
        <v>Paul (Emma Mock)</v>
      </c>
      <c r="E124" s="17" t="str">
        <f t="shared" si="4"/>
        <v>Schabert</v>
      </c>
      <c r="F124" s="17" t="str">
        <f t="shared" si="5"/>
        <v>Mrs. Paul (Emma Mock) Schabert</v>
      </c>
      <c r="G124" s="17" t="str">
        <f>PROPER(Titanic_raw!E124)</f>
        <v>Female</v>
      </c>
    </row>
    <row r="125" spans="1:7" x14ac:dyDescent="0.2">
      <c r="A125" s="7">
        <f>Titanic_raw!A125</f>
        <v>1015</v>
      </c>
      <c r="B125" s="20" t="str">
        <f>Titanic_raw!D125</f>
        <v>Carver, Mr. Alfred John</v>
      </c>
      <c r="C125" s="21" t="s">
        <v>609</v>
      </c>
      <c r="D125" s="22" t="str">
        <f t="shared" si="3"/>
        <v>Alfred John</v>
      </c>
      <c r="E125" s="21" t="str">
        <f t="shared" si="4"/>
        <v>Carver</v>
      </c>
      <c r="F125" s="21" t="str">
        <f t="shared" si="5"/>
        <v>Mr. Alfred John Carver</v>
      </c>
      <c r="G125" s="21" t="str">
        <f>PROPER(Titanic_raw!E125)</f>
        <v>Male</v>
      </c>
    </row>
    <row r="126" spans="1:7" x14ac:dyDescent="0.2">
      <c r="A126" s="7">
        <f>Titanic_raw!A126</f>
        <v>1016</v>
      </c>
      <c r="B126" s="16" t="str">
        <f>Titanic_raw!D126</f>
        <v>Kennedy, Mr. John</v>
      </c>
      <c r="C126" s="17" t="s">
        <v>609</v>
      </c>
      <c r="D126" s="18" t="str">
        <f t="shared" si="3"/>
        <v>John</v>
      </c>
      <c r="E126" s="17" t="str">
        <f t="shared" si="4"/>
        <v>Kennedy</v>
      </c>
      <c r="F126" s="17" t="str">
        <f t="shared" si="5"/>
        <v>Mr. John Kennedy</v>
      </c>
      <c r="G126" s="17" t="str">
        <f>PROPER(Titanic_raw!E126)</f>
        <v>Male</v>
      </c>
    </row>
    <row r="127" spans="1:7" x14ac:dyDescent="0.2">
      <c r="A127" s="7">
        <f>Titanic_raw!A127</f>
        <v>1017</v>
      </c>
      <c r="B127" s="20" t="str">
        <f>Titanic_raw!D127</f>
        <v>Cribb, Miss. Laura Alice</v>
      </c>
      <c r="C127" s="21" t="s">
        <v>611</v>
      </c>
      <c r="D127" s="22" t="str">
        <f t="shared" si="3"/>
        <v>Laura Alice</v>
      </c>
      <c r="E127" s="21" t="str">
        <f t="shared" si="4"/>
        <v>Cribb</v>
      </c>
      <c r="F127" s="21" t="str">
        <f t="shared" si="5"/>
        <v>Miss. Laura Alice Cribb</v>
      </c>
      <c r="G127" s="21" t="str">
        <f>PROPER(Titanic_raw!E127)</f>
        <v>Female</v>
      </c>
    </row>
    <row r="128" spans="1:7" x14ac:dyDescent="0.2">
      <c r="A128" s="7">
        <f>Titanic_raw!A128</f>
        <v>1018</v>
      </c>
      <c r="B128" s="16" t="str">
        <f>Titanic_raw!D128</f>
        <v>Brobeck, Mr. Karl Rudolf</v>
      </c>
      <c r="C128" s="17" t="s">
        <v>609</v>
      </c>
      <c r="D128" s="18" t="str">
        <f t="shared" si="3"/>
        <v>Karl Rudolf</v>
      </c>
      <c r="E128" s="17" t="str">
        <f t="shared" si="4"/>
        <v>Brobeck</v>
      </c>
      <c r="F128" s="17" t="str">
        <f t="shared" si="5"/>
        <v>Mr. Karl Rudolf Brobeck</v>
      </c>
      <c r="G128" s="17" t="str">
        <f>PROPER(Titanic_raw!E128)</f>
        <v>Male</v>
      </c>
    </row>
    <row r="129" spans="1:7" x14ac:dyDescent="0.2">
      <c r="A129" s="7">
        <f>Titanic_raw!A129</f>
        <v>1019</v>
      </c>
      <c r="B129" s="20" t="str">
        <f>Titanic_raw!D129</f>
        <v>McCoy, Miss. Alicia</v>
      </c>
      <c r="C129" s="21" t="s">
        <v>611</v>
      </c>
      <c r="D129" s="22" t="str">
        <f t="shared" si="3"/>
        <v>Alicia</v>
      </c>
      <c r="E129" s="21" t="str">
        <f t="shared" si="4"/>
        <v>McCoy</v>
      </c>
      <c r="F129" s="21" t="str">
        <f t="shared" si="5"/>
        <v>Miss. Alicia McCoy</v>
      </c>
      <c r="G129" s="21" t="str">
        <f>PROPER(Titanic_raw!E129)</f>
        <v>Female</v>
      </c>
    </row>
    <row r="130" spans="1:7" x14ac:dyDescent="0.2">
      <c r="A130" s="7">
        <f>Titanic_raw!A130</f>
        <v>1020</v>
      </c>
      <c r="B130" s="16" t="str">
        <f>Titanic_raw!D130</f>
        <v>Bowenur, Mr. Solomon</v>
      </c>
      <c r="C130" s="17" t="s">
        <v>609</v>
      </c>
      <c r="D130" s="18" t="str">
        <f t="shared" si="3"/>
        <v>Solomon</v>
      </c>
      <c r="E130" s="17" t="str">
        <f t="shared" si="4"/>
        <v>Bowenur</v>
      </c>
      <c r="F130" s="17" t="str">
        <f t="shared" si="5"/>
        <v>Mr. Solomon Bowenur</v>
      </c>
      <c r="G130" s="17" t="str">
        <f>PROPER(Titanic_raw!E130)</f>
        <v>Male</v>
      </c>
    </row>
    <row r="131" spans="1:7" x14ac:dyDescent="0.2">
      <c r="A131" s="7">
        <f>Titanic_raw!A131</f>
        <v>1021</v>
      </c>
      <c r="B131" s="20" t="str">
        <f>Titanic_raw!D131</f>
        <v>Petersen, Mr. Marius</v>
      </c>
      <c r="C131" s="21" t="s">
        <v>609</v>
      </c>
      <c r="D131" s="22" t="str">
        <f t="shared" ref="D131:D194" si="6">RIGHT(B131,LEN(B131)-FIND(".",B131)-1)</f>
        <v>Marius</v>
      </c>
      <c r="E131" s="21" t="str">
        <f t="shared" ref="E131:E194" si="7">LEFT(B131,FIND(",",B131)-1)</f>
        <v>Petersen</v>
      </c>
      <c r="F131" s="21" t="str">
        <f t="shared" ref="F131:F194" si="8">CONCATENATE(C131," ",D131," ",E131)</f>
        <v>Mr. Marius Petersen</v>
      </c>
      <c r="G131" s="21" t="str">
        <f>PROPER(Titanic_raw!E131)</f>
        <v>Male</v>
      </c>
    </row>
    <row r="132" spans="1:7" x14ac:dyDescent="0.2">
      <c r="A132" s="7">
        <f>Titanic_raw!A132</f>
        <v>1022</v>
      </c>
      <c r="B132" s="16" t="str">
        <f>Titanic_raw!D132</f>
        <v>Spinner, Mr. Henry John</v>
      </c>
      <c r="C132" s="17" t="s">
        <v>609</v>
      </c>
      <c r="D132" s="18" t="str">
        <f t="shared" si="6"/>
        <v>Henry John</v>
      </c>
      <c r="E132" s="17" t="str">
        <f t="shared" si="7"/>
        <v>Spinner</v>
      </c>
      <c r="F132" s="17" t="str">
        <f t="shared" si="8"/>
        <v>Mr. Henry John Spinner</v>
      </c>
      <c r="G132" s="17" t="str">
        <f>PROPER(Titanic_raw!E132)</f>
        <v>Male</v>
      </c>
    </row>
    <row r="133" spans="1:7" x14ac:dyDescent="0.2">
      <c r="A133" s="7">
        <f>Titanic_raw!A133</f>
        <v>1023</v>
      </c>
      <c r="B133" s="20" t="str">
        <f>Titanic_raw!D133</f>
        <v>Gracie, Col. Archibald IV</v>
      </c>
      <c r="C133" s="21" t="s">
        <v>614</v>
      </c>
      <c r="D133" s="22" t="str">
        <f t="shared" si="6"/>
        <v>Archibald IV</v>
      </c>
      <c r="E133" s="21" t="str">
        <f t="shared" si="7"/>
        <v>Gracie</v>
      </c>
      <c r="F133" s="21" t="str">
        <f t="shared" si="8"/>
        <v>Col. Archibald IV Gracie</v>
      </c>
      <c r="G133" s="21" t="str">
        <f>PROPER(Titanic_raw!E133)</f>
        <v>Male</v>
      </c>
    </row>
    <row r="134" spans="1:7" x14ac:dyDescent="0.2">
      <c r="A134" s="7">
        <f>Titanic_raw!A134</f>
        <v>1024</v>
      </c>
      <c r="B134" s="16" t="str">
        <f>Titanic_raw!D134</f>
        <v>Lefebre, Mrs. Frank (Frances)</v>
      </c>
      <c r="C134" s="17" t="s">
        <v>610</v>
      </c>
      <c r="D134" s="18" t="str">
        <f t="shared" si="6"/>
        <v>Frank (Frances)</v>
      </c>
      <c r="E134" s="17" t="str">
        <f t="shared" si="7"/>
        <v>Lefebre</v>
      </c>
      <c r="F134" s="17" t="str">
        <f t="shared" si="8"/>
        <v>Mrs. Frank (Frances) Lefebre</v>
      </c>
      <c r="G134" s="17" t="str">
        <f>PROPER(Titanic_raw!E134)</f>
        <v>Female</v>
      </c>
    </row>
    <row r="135" spans="1:7" x14ac:dyDescent="0.2">
      <c r="A135" s="7">
        <f>Titanic_raw!A135</f>
        <v>1025</v>
      </c>
      <c r="B135" s="20" t="str">
        <f>Titanic_raw!D135</f>
        <v>Thomas, Mr. Charles P</v>
      </c>
      <c r="C135" s="21" t="s">
        <v>609</v>
      </c>
      <c r="D135" s="22" t="str">
        <f t="shared" si="6"/>
        <v>Charles P</v>
      </c>
      <c r="E135" s="21" t="str">
        <f t="shared" si="7"/>
        <v>Thomas</v>
      </c>
      <c r="F135" s="21" t="str">
        <f t="shared" si="8"/>
        <v>Mr. Charles P Thomas</v>
      </c>
      <c r="G135" s="21" t="str">
        <f>PROPER(Titanic_raw!E135)</f>
        <v>Male</v>
      </c>
    </row>
    <row r="136" spans="1:7" x14ac:dyDescent="0.2">
      <c r="A136" s="7">
        <f>Titanic_raw!A136</f>
        <v>1026</v>
      </c>
      <c r="B136" s="16" t="str">
        <f>Titanic_raw!D136</f>
        <v>Dintcheff, Mr. Valtcho</v>
      </c>
      <c r="C136" s="17" t="s">
        <v>609</v>
      </c>
      <c r="D136" s="18" t="str">
        <f t="shared" si="6"/>
        <v>Valtcho</v>
      </c>
      <c r="E136" s="17" t="str">
        <f t="shared" si="7"/>
        <v>Dintcheff</v>
      </c>
      <c r="F136" s="17" t="str">
        <f t="shared" si="8"/>
        <v>Mr. Valtcho Dintcheff</v>
      </c>
      <c r="G136" s="17" t="str">
        <f>PROPER(Titanic_raw!E136)</f>
        <v>Male</v>
      </c>
    </row>
    <row r="137" spans="1:7" x14ac:dyDescent="0.2">
      <c r="A137" s="7">
        <f>Titanic_raw!A137</f>
        <v>1027</v>
      </c>
      <c r="B137" s="20" t="str">
        <f>Titanic_raw!D137</f>
        <v>Carlsson, Mr. Carl Robert</v>
      </c>
      <c r="C137" s="21" t="s">
        <v>609</v>
      </c>
      <c r="D137" s="22" t="str">
        <f t="shared" si="6"/>
        <v>Carl Robert</v>
      </c>
      <c r="E137" s="21" t="str">
        <f t="shared" si="7"/>
        <v>Carlsson</v>
      </c>
      <c r="F137" s="21" t="str">
        <f t="shared" si="8"/>
        <v>Mr. Carl Robert Carlsson</v>
      </c>
      <c r="G137" s="21" t="str">
        <f>PROPER(Titanic_raw!E137)</f>
        <v>Male</v>
      </c>
    </row>
    <row r="138" spans="1:7" x14ac:dyDescent="0.2">
      <c r="A138" s="7">
        <f>Titanic_raw!A138</f>
        <v>1028</v>
      </c>
      <c r="B138" s="16" t="str">
        <f>Titanic_raw!D138</f>
        <v>Zakarian, Mr. Mapriededer</v>
      </c>
      <c r="C138" s="17" t="s">
        <v>609</v>
      </c>
      <c r="D138" s="18" t="str">
        <f t="shared" si="6"/>
        <v>Mapriededer</v>
      </c>
      <c r="E138" s="17" t="str">
        <f t="shared" si="7"/>
        <v>Zakarian</v>
      </c>
      <c r="F138" s="17" t="str">
        <f t="shared" si="8"/>
        <v>Mr. Mapriededer Zakarian</v>
      </c>
      <c r="G138" s="17" t="str">
        <f>PROPER(Titanic_raw!E138)</f>
        <v>Male</v>
      </c>
    </row>
    <row r="139" spans="1:7" x14ac:dyDescent="0.2">
      <c r="A139" s="7">
        <f>Titanic_raw!A139</f>
        <v>1029</v>
      </c>
      <c r="B139" s="20" t="str">
        <f>Titanic_raw!D139</f>
        <v>Schmidt, Mr. August</v>
      </c>
      <c r="C139" s="21" t="s">
        <v>609</v>
      </c>
      <c r="D139" s="22" t="str">
        <f t="shared" si="6"/>
        <v>August</v>
      </c>
      <c r="E139" s="21" t="str">
        <f t="shared" si="7"/>
        <v>Schmidt</v>
      </c>
      <c r="F139" s="21" t="str">
        <f t="shared" si="8"/>
        <v>Mr. August Schmidt</v>
      </c>
      <c r="G139" s="21" t="str">
        <f>PROPER(Titanic_raw!E139)</f>
        <v>Male</v>
      </c>
    </row>
    <row r="140" spans="1:7" x14ac:dyDescent="0.2">
      <c r="A140" s="7">
        <f>Titanic_raw!A140</f>
        <v>1030</v>
      </c>
      <c r="B140" s="16" t="str">
        <f>Titanic_raw!D140</f>
        <v>Drapkin, Miss. Jennie</v>
      </c>
      <c r="C140" s="17" t="s">
        <v>611</v>
      </c>
      <c r="D140" s="18" t="str">
        <f t="shared" si="6"/>
        <v>Jennie</v>
      </c>
      <c r="E140" s="17" t="str">
        <f t="shared" si="7"/>
        <v>Drapkin</v>
      </c>
      <c r="F140" s="17" t="str">
        <f t="shared" si="8"/>
        <v>Miss. Jennie Drapkin</v>
      </c>
      <c r="G140" s="17" t="str">
        <f>PROPER(Titanic_raw!E140)</f>
        <v>Female</v>
      </c>
    </row>
    <row r="141" spans="1:7" x14ac:dyDescent="0.2">
      <c r="A141" s="7">
        <f>Titanic_raw!A141</f>
        <v>1031</v>
      </c>
      <c r="B141" s="20" t="str">
        <f>Titanic_raw!D141</f>
        <v>Goodwin, Mr. Charles Frederick</v>
      </c>
      <c r="C141" s="21" t="s">
        <v>609</v>
      </c>
      <c r="D141" s="22" t="str">
        <f t="shared" si="6"/>
        <v>Charles Frederick</v>
      </c>
      <c r="E141" s="21" t="str">
        <f t="shared" si="7"/>
        <v>Goodwin</v>
      </c>
      <c r="F141" s="21" t="str">
        <f t="shared" si="8"/>
        <v>Mr. Charles Frederick Goodwin</v>
      </c>
      <c r="G141" s="21" t="str">
        <f>PROPER(Titanic_raw!E141)</f>
        <v>Male</v>
      </c>
    </row>
    <row r="142" spans="1:7" x14ac:dyDescent="0.2">
      <c r="A142" s="7">
        <f>Titanic_raw!A142</f>
        <v>1032</v>
      </c>
      <c r="B142" s="16" t="str">
        <f>Titanic_raw!D142</f>
        <v>Goodwin, Miss. Jessie Allis</v>
      </c>
      <c r="C142" s="17" t="s">
        <v>611</v>
      </c>
      <c r="D142" s="18" t="str">
        <f t="shared" si="6"/>
        <v>Jessie Allis</v>
      </c>
      <c r="E142" s="17" t="str">
        <f t="shared" si="7"/>
        <v>Goodwin</v>
      </c>
      <c r="F142" s="17" t="str">
        <f t="shared" si="8"/>
        <v>Miss. Jessie Allis Goodwin</v>
      </c>
      <c r="G142" s="17" t="str">
        <f>PROPER(Titanic_raw!E142)</f>
        <v>Female</v>
      </c>
    </row>
    <row r="143" spans="1:7" x14ac:dyDescent="0.2">
      <c r="A143" s="7">
        <f>Titanic_raw!A143</f>
        <v>1033</v>
      </c>
      <c r="B143" s="20" t="str">
        <f>Titanic_raw!D143</f>
        <v>Daniels, Miss. Sarah</v>
      </c>
      <c r="C143" s="21" t="s">
        <v>611</v>
      </c>
      <c r="D143" s="22" t="str">
        <f t="shared" si="6"/>
        <v>Sarah</v>
      </c>
      <c r="E143" s="21" t="str">
        <f t="shared" si="7"/>
        <v>Daniels</v>
      </c>
      <c r="F143" s="21" t="str">
        <f t="shared" si="8"/>
        <v>Miss. Sarah Daniels</v>
      </c>
      <c r="G143" s="21" t="str">
        <f>PROPER(Titanic_raw!E143)</f>
        <v>Female</v>
      </c>
    </row>
    <row r="144" spans="1:7" x14ac:dyDescent="0.2">
      <c r="A144" s="7">
        <f>Titanic_raw!A144</f>
        <v>1034</v>
      </c>
      <c r="B144" s="16" t="str">
        <f>Titanic_raw!D144</f>
        <v>Ryerson, Mr. Arthur Larned</v>
      </c>
      <c r="C144" s="17" t="s">
        <v>609</v>
      </c>
      <c r="D144" s="18" t="str">
        <f t="shared" si="6"/>
        <v>Arthur Larned</v>
      </c>
      <c r="E144" s="17" t="str">
        <f t="shared" si="7"/>
        <v>Ryerson</v>
      </c>
      <c r="F144" s="17" t="str">
        <f t="shared" si="8"/>
        <v>Mr. Arthur Larned Ryerson</v>
      </c>
      <c r="G144" s="17" t="str">
        <f>PROPER(Titanic_raw!E144)</f>
        <v>Male</v>
      </c>
    </row>
    <row r="145" spans="1:7" x14ac:dyDescent="0.2">
      <c r="A145" s="7">
        <f>Titanic_raw!A145</f>
        <v>1035</v>
      </c>
      <c r="B145" s="20" t="str">
        <f>Titanic_raw!D145</f>
        <v>Beauchamp, Mr. Henry James</v>
      </c>
      <c r="C145" s="21" t="s">
        <v>609</v>
      </c>
      <c r="D145" s="22" t="str">
        <f t="shared" si="6"/>
        <v>Henry James</v>
      </c>
      <c r="E145" s="21" t="str">
        <f t="shared" si="7"/>
        <v>Beauchamp</v>
      </c>
      <c r="F145" s="21" t="str">
        <f t="shared" si="8"/>
        <v>Mr. Henry James Beauchamp</v>
      </c>
      <c r="G145" s="21" t="str">
        <f>PROPER(Titanic_raw!E145)</f>
        <v>Male</v>
      </c>
    </row>
    <row r="146" spans="1:7" x14ac:dyDescent="0.2">
      <c r="A146" s="7">
        <f>Titanic_raw!A146</f>
        <v>1036</v>
      </c>
      <c r="B146" s="16" t="str">
        <f>Titanic_raw!D146</f>
        <v>Lindeberg-Lind, Mr. Erik Gustaf (Mr Edward Lingrey")"</v>
      </c>
      <c r="C146" s="17" t="s">
        <v>609</v>
      </c>
      <c r="D146" s="18" t="str">
        <f t="shared" si="6"/>
        <v>Erik Gustaf (Mr Edward Lingrey")"</v>
      </c>
      <c r="E146" s="17" t="str">
        <f t="shared" si="7"/>
        <v>Lindeberg-Lind</v>
      </c>
      <c r="F146" s="17" t="str">
        <f t="shared" si="8"/>
        <v>Mr. Erik Gustaf (Mr Edward Lingrey")" Lindeberg-Lind</v>
      </c>
      <c r="G146" s="17" t="str">
        <f>PROPER(Titanic_raw!E146)</f>
        <v>Male</v>
      </c>
    </row>
    <row r="147" spans="1:7" x14ac:dyDescent="0.2">
      <c r="A147" s="7">
        <f>Titanic_raw!A147</f>
        <v>1037</v>
      </c>
      <c r="B147" s="20" t="str">
        <f>Titanic_raw!D147</f>
        <v>Vander Planke, Mr. Julius</v>
      </c>
      <c r="C147" s="21" t="s">
        <v>609</v>
      </c>
      <c r="D147" s="22" t="str">
        <f t="shared" si="6"/>
        <v>Julius</v>
      </c>
      <c r="E147" s="21" t="str">
        <f t="shared" si="7"/>
        <v>Vander Planke</v>
      </c>
      <c r="F147" s="21" t="str">
        <f t="shared" si="8"/>
        <v>Mr. Julius Vander Planke</v>
      </c>
      <c r="G147" s="21" t="str">
        <f>PROPER(Titanic_raw!E147)</f>
        <v>Male</v>
      </c>
    </row>
    <row r="148" spans="1:7" x14ac:dyDescent="0.2">
      <c r="A148" s="7">
        <f>Titanic_raw!A148</f>
        <v>1038</v>
      </c>
      <c r="B148" s="16" t="str">
        <f>Titanic_raw!D148</f>
        <v>Hilliard, Mr. Herbert Henry</v>
      </c>
      <c r="C148" s="17" t="s">
        <v>609</v>
      </c>
      <c r="D148" s="18" t="str">
        <f t="shared" si="6"/>
        <v>Herbert Henry</v>
      </c>
      <c r="E148" s="17" t="str">
        <f t="shared" si="7"/>
        <v>Hilliard</v>
      </c>
      <c r="F148" s="17" t="str">
        <f t="shared" si="8"/>
        <v>Mr. Herbert Henry Hilliard</v>
      </c>
      <c r="G148" s="17" t="str">
        <f>PROPER(Titanic_raw!E148)</f>
        <v>Male</v>
      </c>
    </row>
    <row r="149" spans="1:7" x14ac:dyDescent="0.2">
      <c r="A149" s="7">
        <f>Titanic_raw!A149</f>
        <v>1039</v>
      </c>
      <c r="B149" s="20" t="str">
        <f>Titanic_raw!D149</f>
        <v>Davies, Mr. Evan</v>
      </c>
      <c r="C149" s="21" t="s">
        <v>609</v>
      </c>
      <c r="D149" s="22" t="str">
        <f t="shared" si="6"/>
        <v>Evan</v>
      </c>
      <c r="E149" s="21" t="str">
        <f t="shared" si="7"/>
        <v>Davies</v>
      </c>
      <c r="F149" s="21" t="str">
        <f t="shared" si="8"/>
        <v>Mr. Evan Davies</v>
      </c>
      <c r="G149" s="21" t="str">
        <f>PROPER(Titanic_raw!E149)</f>
        <v>Male</v>
      </c>
    </row>
    <row r="150" spans="1:7" x14ac:dyDescent="0.2">
      <c r="A150" s="7">
        <f>Titanic_raw!A150</f>
        <v>1040</v>
      </c>
      <c r="B150" s="16" t="str">
        <f>Titanic_raw!D150</f>
        <v>Crafton, Mr. John Bertram</v>
      </c>
      <c r="C150" s="17" t="s">
        <v>609</v>
      </c>
      <c r="D150" s="18" t="str">
        <f t="shared" si="6"/>
        <v>John Bertram</v>
      </c>
      <c r="E150" s="17" t="str">
        <f t="shared" si="7"/>
        <v>Crafton</v>
      </c>
      <c r="F150" s="17" t="str">
        <f t="shared" si="8"/>
        <v>Mr. John Bertram Crafton</v>
      </c>
      <c r="G150" s="17" t="str">
        <f>PROPER(Titanic_raw!E150)</f>
        <v>Male</v>
      </c>
    </row>
    <row r="151" spans="1:7" x14ac:dyDescent="0.2">
      <c r="A151" s="7">
        <f>Titanic_raw!A151</f>
        <v>1041</v>
      </c>
      <c r="B151" s="20" t="str">
        <f>Titanic_raw!D151</f>
        <v>Lahtinen, Rev. William</v>
      </c>
      <c r="C151" s="21" t="s">
        <v>615</v>
      </c>
      <c r="D151" s="22" t="str">
        <f t="shared" si="6"/>
        <v>William</v>
      </c>
      <c r="E151" s="21" t="str">
        <f t="shared" si="7"/>
        <v>Lahtinen</v>
      </c>
      <c r="F151" s="21" t="str">
        <f t="shared" si="8"/>
        <v>Rev. William Lahtinen</v>
      </c>
      <c r="G151" s="21" t="str">
        <f>PROPER(Titanic_raw!E151)</f>
        <v>Male</v>
      </c>
    </row>
    <row r="152" spans="1:7" x14ac:dyDescent="0.2">
      <c r="A152" s="7">
        <f>Titanic_raw!A152</f>
        <v>1042</v>
      </c>
      <c r="B152" s="16" t="str">
        <f>Titanic_raw!D152</f>
        <v>Earnshaw, Mrs. Boulton (Olive Potter)</v>
      </c>
      <c r="C152" s="17" t="s">
        <v>610</v>
      </c>
      <c r="D152" s="18" t="str">
        <f t="shared" si="6"/>
        <v>Boulton (Olive Potter)</v>
      </c>
      <c r="E152" s="17" t="str">
        <f t="shared" si="7"/>
        <v>Earnshaw</v>
      </c>
      <c r="F152" s="17" t="str">
        <f t="shared" si="8"/>
        <v>Mrs. Boulton (Olive Potter) Earnshaw</v>
      </c>
      <c r="G152" s="17" t="str">
        <f>PROPER(Titanic_raw!E152)</f>
        <v>Female</v>
      </c>
    </row>
    <row r="153" spans="1:7" x14ac:dyDescent="0.2">
      <c r="A153" s="7">
        <f>Titanic_raw!A153</f>
        <v>1043</v>
      </c>
      <c r="B153" s="20" t="str">
        <f>Titanic_raw!D153</f>
        <v>Matinoff, Mr. Nicola</v>
      </c>
      <c r="C153" s="21" t="s">
        <v>609</v>
      </c>
      <c r="D153" s="22" t="str">
        <f t="shared" si="6"/>
        <v>Nicola</v>
      </c>
      <c r="E153" s="21" t="str">
        <f t="shared" si="7"/>
        <v>Matinoff</v>
      </c>
      <c r="F153" s="21" t="str">
        <f t="shared" si="8"/>
        <v>Mr. Nicola Matinoff</v>
      </c>
      <c r="G153" s="21" t="str">
        <f>PROPER(Titanic_raw!E153)</f>
        <v>Male</v>
      </c>
    </row>
    <row r="154" spans="1:7" x14ac:dyDescent="0.2">
      <c r="A154" s="7">
        <f>Titanic_raw!A154</f>
        <v>1044</v>
      </c>
      <c r="B154" s="16" t="str">
        <f>Titanic_raw!D154</f>
        <v>Storey, Mr. Thomas</v>
      </c>
      <c r="C154" s="17" t="s">
        <v>609</v>
      </c>
      <c r="D154" s="18" t="str">
        <f t="shared" si="6"/>
        <v>Thomas</v>
      </c>
      <c r="E154" s="17" t="str">
        <f t="shared" si="7"/>
        <v>Storey</v>
      </c>
      <c r="F154" s="17" t="str">
        <f t="shared" si="8"/>
        <v>Mr. Thomas Storey</v>
      </c>
      <c r="G154" s="17" t="str">
        <f>PROPER(Titanic_raw!E154)</f>
        <v>Male</v>
      </c>
    </row>
    <row r="155" spans="1:7" x14ac:dyDescent="0.2">
      <c r="A155" s="7">
        <f>Titanic_raw!A155</f>
        <v>1045</v>
      </c>
      <c r="B155" s="20" t="str">
        <f>Titanic_raw!D155</f>
        <v>Klasen, Mrs. (Hulda Kristina Eugenia Lofqvist)</v>
      </c>
      <c r="C155" s="21" t="s">
        <v>610</v>
      </c>
      <c r="D155" s="22" t="str">
        <f t="shared" si="6"/>
        <v>(Hulda Kristina Eugenia Lofqvist)</v>
      </c>
      <c r="E155" s="21" t="str">
        <f t="shared" si="7"/>
        <v>Klasen</v>
      </c>
      <c r="F155" s="21" t="str">
        <f t="shared" si="8"/>
        <v>Mrs. (Hulda Kristina Eugenia Lofqvist) Klasen</v>
      </c>
      <c r="G155" s="21" t="str">
        <f>PROPER(Titanic_raw!E155)</f>
        <v>Female</v>
      </c>
    </row>
    <row r="156" spans="1:7" x14ac:dyDescent="0.2">
      <c r="A156" s="7">
        <f>Titanic_raw!A156</f>
        <v>1046</v>
      </c>
      <c r="B156" s="16" t="str">
        <f>Titanic_raw!D156</f>
        <v>Asplund, Master. Filip Oscar</v>
      </c>
      <c r="C156" s="17" t="s">
        <v>612</v>
      </c>
      <c r="D156" s="18" t="str">
        <f t="shared" si="6"/>
        <v>Filip Oscar</v>
      </c>
      <c r="E156" s="17" t="str">
        <f t="shared" si="7"/>
        <v>Asplund</v>
      </c>
      <c r="F156" s="17" t="str">
        <f t="shared" si="8"/>
        <v>Master. Filip Oscar Asplund</v>
      </c>
      <c r="G156" s="17" t="str">
        <f>PROPER(Titanic_raw!E156)</f>
        <v>Male</v>
      </c>
    </row>
    <row r="157" spans="1:7" x14ac:dyDescent="0.2">
      <c r="A157" s="7">
        <f>Titanic_raw!A157</f>
        <v>1047</v>
      </c>
      <c r="B157" s="20" t="str">
        <f>Titanic_raw!D157</f>
        <v>Duquemin, Mr. Joseph</v>
      </c>
      <c r="C157" s="21" t="s">
        <v>609</v>
      </c>
      <c r="D157" s="22" t="str">
        <f t="shared" si="6"/>
        <v>Joseph</v>
      </c>
      <c r="E157" s="21" t="str">
        <f t="shared" si="7"/>
        <v>Duquemin</v>
      </c>
      <c r="F157" s="21" t="str">
        <f t="shared" si="8"/>
        <v>Mr. Joseph Duquemin</v>
      </c>
      <c r="G157" s="21" t="str">
        <f>PROPER(Titanic_raw!E157)</f>
        <v>Male</v>
      </c>
    </row>
    <row r="158" spans="1:7" x14ac:dyDescent="0.2">
      <c r="A158" s="7">
        <f>Titanic_raw!A158</f>
        <v>1048</v>
      </c>
      <c r="B158" s="16" t="str">
        <f>Titanic_raw!D158</f>
        <v>Bird, Miss. Ellen</v>
      </c>
      <c r="C158" s="17" t="s">
        <v>611</v>
      </c>
      <c r="D158" s="18" t="str">
        <f t="shared" si="6"/>
        <v>Ellen</v>
      </c>
      <c r="E158" s="17" t="str">
        <f t="shared" si="7"/>
        <v>Bird</v>
      </c>
      <c r="F158" s="17" t="str">
        <f t="shared" si="8"/>
        <v>Miss. Ellen Bird</v>
      </c>
      <c r="G158" s="17" t="str">
        <f>PROPER(Titanic_raw!E158)</f>
        <v>Female</v>
      </c>
    </row>
    <row r="159" spans="1:7" x14ac:dyDescent="0.2">
      <c r="A159" s="7">
        <f>Titanic_raw!A159</f>
        <v>1049</v>
      </c>
      <c r="B159" s="20" t="str">
        <f>Titanic_raw!D159</f>
        <v>Lundin, Miss. Olga Elida</v>
      </c>
      <c r="C159" s="21" t="s">
        <v>611</v>
      </c>
      <c r="D159" s="22" t="str">
        <f t="shared" si="6"/>
        <v>Olga Elida</v>
      </c>
      <c r="E159" s="21" t="str">
        <f t="shared" si="7"/>
        <v>Lundin</v>
      </c>
      <c r="F159" s="21" t="str">
        <f t="shared" si="8"/>
        <v>Miss. Olga Elida Lundin</v>
      </c>
      <c r="G159" s="21" t="str">
        <f>PROPER(Titanic_raw!E159)</f>
        <v>Female</v>
      </c>
    </row>
    <row r="160" spans="1:7" x14ac:dyDescent="0.2">
      <c r="A160" s="7">
        <f>Titanic_raw!A160</f>
        <v>1050</v>
      </c>
      <c r="B160" s="16" t="str">
        <f>Titanic_raw!D160</f>
        <v>Borebank, Mr. John James</v>
      </c>
      <c r="C160" s="17" t="s">
        <v>609</v>
      </c>
      <c r="D160" s="18" t="str">
        <f t="shared" si="6"/>
        <v>John James</v>
      </c>
      <c r="E160" s="17" t="str">
        <f t="shared" si="7"/>
        <v>Borebank</v>
      </c>
      <c r="F160" s="17" t="str">
        <f t="shared" si="8"/>
        <v>Mr. John James Borebank</v>
      </c>
      <c r="G160" s="17" t="str">
        <f>PROPER(Titanic_raw!E160)</f>
        <v>Male</v>
      </c>
    </row>
    <row r="161" spans="1:7" x14ac:dyDescent="0.2">
      <c r="A161" s="7">
        <f>Titanic_raw!A161</f>
        <v>1051</v>
      </c>
      <c r="B161" s="20" t="str">
        <f>Titanic_raw!D161</f>
        <v>Peacock, Mrs. Benjamin (Edith Nile)</v>
      </c>
      <c r="C161" s="21" t="s">
        <v>610</v>
      </c>
      <c r="D161" s="22" t="str">
        <f t="shared" si="6"/>
        <v>Benjamin (Edith Nile)</v>
      </c>
      <c r="E161" s="21" t="str">
        <f t="shared" si="7"/>
        <v>Peacock</v>
      </c>
      <c r="F161" s="21" t="str">
        <f t="shared" si="8"/>
        <v>Mrs. Benjamin (Edith Nile) Peacock</v>
      </c>
      <c r="G161" s="21" t="str">
        <f>PROPER(Titanic_raw!E161)</f>
        <v>Female</v>
      </c>
    </row>
    <row r="162" spans="1:7" x14ac:dyDescent="0.2">
      <c r="A162" s="7">
        <f>Titanic_raw!A162</f>
        <v>1052</v>
      </c>
      <c r="B162" s="16" t="str">
        <f>Titanic_raw!D162</f>
        <v>Smyth, Miss. Julia</v>
      </c>
      <c r="C162" s="17" t="s">
        <v>611</v>
      </c>
      <c r="D162" s="18" t="str">
        <f t="shared" si="6"/>
        <v>Julia</v>
      </c>
      <c r="E162" s="17" t="str">
        <f t="shared" si="7"/>
        <v>Smyth</v>
      </c>
      <c r="F162" s="17" t="str">
        <f t="shared" si="8"/>
        <v>Miss. Julia Smyth</v>
      </c>
      <c r="G162" s="17" t="str">
        <f>PROPER(Titanic_raw!E162)</f>
        <v>Female</v>
      </c>
    </row>
    <row r="163" spans="1:7" x14ac:dyDescent="0.2">
      <c r="A163" s="7">
        <f>Titanic_raw!A163</f>
        <v>1053</v>
      </c>
      <c r="B163" s="20" t="str">
        <f>Titanic_raw!D163</f>
        <v>Touma, Master. Georges Youssef</v>
      </c>
      <c r="C163" s="21" t="s">
        <v>612</v>
      </c>
      <c r="D163" s="22" t="str">
        <f t="shared" si="6"/>
        <v>Georges Youssef</v>
      </c>
      <c r="E163" s="21" t="str">
        <f t="shared" si="7"/>
        <v>Touma</v>
      </c>
      <c r="F163" s="21" t="str">
        <f t="shared" si="8"/>
        <v>Master. Georges Youssef Touma</v>
      </c>
      <c r="G163" s="21" t="str">
        <f>PROPER(Titanic_raw!E163)</f>
        <v>Male</v>
      </c>
    </row>
    <row r="164" spans="1:7" x14ac:dyDescent="0.2">
      <c r="A164" s="7">
        <f>Titanic_raw!A164</f>
        <v>1054</v>
      </c>
      <c r="B164" s="16" t="str">
        <f>Titanic_raw!D164</f>
        <v>Wright, Miss. Marion</v>
      </c>
      <c r="C164" s="17" t="s">
        <v>611</v>
      </c>
      <c r="D164" s="18" t="str">
        <f t="shared" si="6"/>
        <v>Marion</v>
      </c>
      <c r="E164" s="17" t="str">
        <f t="shared" si="7"/>
        <v>Wright</v>
      </c>
      <c r="F164" s="17" t="str">
        <f t="shared" si="8"/>
        <v>Miss. Marion Wright</v>
      </c>
      <c r="G164" s="17" t="str">
        <f>PROPER(Titanic_raw!E164)</f>
        <v>Female</v>
      </c>
    </row>
    <row r="165" spans="1:7" x14ac:dyDescent="0.2">
      <c r="A165" s="7">
        <f>Titanic_raw!A165</f>
        <v>1055</v>
      </c>
      <c r="B165" s="20" t="str">
        <f>Titanic_raw!D165</f>
        <v>Pearce, Mr. Ernest</v>
      </c>
      <c r="C165" s="21" t="s">
        <v>609</v>
      </c>
      <c r="D165" s="22" t="str">
        <f t="shared" si="6"/>
        <v>Ernest</v>
      </c>
      <c r="E165" s="21" t="str">
        <f t="shared" si="7"/>
        <v>Pearce</v>
      </c>
      <c r="F165" s="21" t="str">
        <f t="shared" si="8"/>
        <v>Mr. Ernest Pearce</v>
      </c>
      <c r="G165" s="21" t="str">
        <f>PROPER(Titanic_raw!E165)</f>
        <v>Male</v>
      </c>
    </row>
    <row r="166" spans="1:7" x14ac:dyDescent="0.2">
      <c r="A166" s="7">
        <f>Titanic_raw!A166</f>
        <v>1056</v>
      </c>
      <c r="B166" s="16" t="str">
        <f>Titanic_raw!D166</f>
        <v>Peruschitz, Rev. Joseph Maria</v>
      </c>
      <c r="C166" s="17" t="s">
        <v>615</v>
      </c>
      <c r="D166" s="18" t="str">
        <f t="shared" si="6"/>
        <v>Joseph Maria</v>
      </c>
      <c r="E166" s="17" t="str">
        <f t="shared" si="7"/>
        <v>Peruschitz</v>
      </c>
      <c r="F166" s="17" t="str">
        <f t="shared" si="8"/>
        <v>Rev. Joseph Maria Peruschitz</v>
      </c>
      <c r="G166" s="17" t="str">
        <f>PROPER(Titanic_raw!E166)</f>
        <v>Male</v>
      </c>
    </row>
    <row r="167" spans="1:7" x14ac:dyDescent="0.2">
      <c r="A167" s="7">
        <f>Titanic_raw!A167</f>
        <v>1057</v>
      </c>
      <c r="B167" s="20" t="str">
        <f>Titanic_raw!D167</f>
        <v>Kink-Heilmann, Mrs. Anton (Luise Heilmann)</v>
      </c>
      <c r="C167" s="21" t="s">
        <v>610</v>
      </c>
      <c r="D167" s="22" t="str">
        <f t="shared" si="6"/>
        <v>Anton (Luise Heilmann)</v>
      </c>
      <c r="E167" s="21" t="str">
        <f t="shared" si="7"/>
        <v>Kink-Heilmann</v>
      </c>
      <c r="F167" s="21" t="str">
        <f t="shared" si="8"/>
        <v>Mrs. Anton (Luise Heilmann) Kink-Heilmann</v>
      </c>
      <c r="G167" s="21" t="str">
        <f>PROPER(Titanic_raw!E167)</f>
        <v>Female</v>
      </c>
    </row>
    <row r="168" spans="1:7" x14ac:dyDescent="0.2">
      <c r="A168" s="7">
        <f>Titanic_raw!A168</f>
        <v>1058</v>
      </c>
      <c r="B168" s="16" t="str">
        <f>Titanic_raw!D168</f>
        <v>Brandeis, Mr. Emil</v>
      </c>
      <c r="C168" s="17" t="s">
        <v>609</v>
      </c>
      <c r="D168" s="18" t="str">
        <f t="shared" si="6"/>
        <v>Emil</v>
      </c>
      <c r="E168" s="17" t="str">
        <f t="shared" si="7"/>
        <v>Brandeis</v>
      </c>
      <c r="F168" s="17" t="str">
        <f t="shared" si="8"/>
        <v>Mr. Emil Brandeis</v>
      </c>
      <c r="G168" s="17" t="str">
        <f>PROPER(Titanic_raw!E168)</f>
        <v>Male</v>
      </c>
    </row>
    <row r="169" spans="1:7" x14ac:dyDescent="0.2">
      <c r="A169" s="7">
        <f>Titanic_raw!A169</f>
        <v>1059</v>
      </c>
      <c r="B169" s="20" t="str">
        <f>Titanic_raw!D169</f>
        <v>Ford, Mr. Edward Watson</v>
      </c>
      <c r="C169" s="21" t="s">
        <v>609</v>
      </c>
      <c r="D169" s="22" t="str">
        <f t="shared" si="6"/>
        <v>Edward Watson</v>
      </c>
      <c r="E169" s="21" t="str">
        <f t="shared" si="7"/>
        <v>Ford</v>
      </c>
      <c r="F169" s="21" t="str">
        <f t="shared" si="8"/>
        <v>Mr. Edward Watson Ford</v>
      </c>
      <c r="G169" s="21" t="str">
        <f>PROPER(Titanic_raw!E169)</f>
        <v>Male</v>
      </c>
    </row>
    <row r="170" spans="1:7" x14ac:dyDescent="0.2">
      <c r="A170" s="7">
        <f>Titanic_raw!A170</f>
        <v>1060</v>
      </c>
      <c r="B170" s="16" t="str">
        <f>Titanic_raw!D170</f>
        <v>Cassebeer, Mrs. Henry Arthur Jr (Eleanor Genevieve Fosdick)</v>
      </c>
      <c r="C170" s="17" t="s">
        <v>610</v>
      </c>
      <c r="D170" s="18" t="str">
        <f t="shared" si="6"/>
        <v>Henry Arthur Jr (Eleanor Genevieve Fosdick)</v>
      </c>
      <c r="E170" s="17" t="str">
        <f t="shared" si="7"/>
        <v>Cassebeer</v>
      </c>
      <c r="F170" s="17" t="str">
        <f t="shared" si="8"/>
        <v>Mrs. Henry Arthur Jr (Eleanor Genevieve Fosdick) Cassebeer</v>
      </c>
      <c r="G170" s="17" t="str">
        <f>PROPER(Titanic_raw!E170)</f>
        <v>Female</v>
      </c>
    </row>
    <row r="171" spans="1:7" x14ac:dyDescent="0.2">
      <c r="A171" s="7">
        <f>Titanic_raw!A171</f>
        <v>1061</v>
      </c>
      <c r="B171" s="20" t="str">
        <f>Titanic_raw!D171</f>
        <v>Hellstrom, Miss. Hilda Maria</v>
      </c>
      <c r="C171" s="21" t="s">
        <v>611</v>
      </c>
      <c r="D171" s="22" t="str">
        <f t="shared" si="6"/>
        <v>Hilda Maria</v>
      </c>
      <c r="E171" s="21" t="str">
        <f t="shared" si="7"/>
        <v>Hellstrom</v>
      </c>
      <c r="F171" s="21" t="str">
        <f t="shared" si="8"/>
        <v>Miss. Hilda Maria Hellstrom</v>
      </c>
      <c r="G171" s="21" t="str">
        <f>PROPER(Titanic_raw!E171)</f>
        <v>Female</v>
      </c>
    </row>
    <row r="172" spans="1:7" x14ac:dyDescent="0.2">
      <c r="A172" s="7">
        <f>Titanic_raw!A172</f>
        <v>1062</v>
      </c>
      <c r="B172" s="16" t="str">
        <f>Titanic_raw!D172</f>
        <v>Lithman, Mr. Simon</v>
      </c>
      <c r="C172" s="17" t="s">
        <v>609</v>
      </c>
      <c r="D172" s="18" t="str">
        <f t="shared" si="6"/>
        <v>Simon</v>
      </c>
      <c r="E172" s="17" t="str">
        <f t="shared" si="7"/>
        <v>Lithman</v>
      </c>
      <c r="F172" s="17" t="str">
        <f t="shared" si="8"/>
        <v>Mr. Simon Lithman</v>
      </c>
      <c r="G172" s="17" t="str">
        <f>PROPER(Titanic_raw!E172)</f>
        <v>Male</v>
      </c>
    </row>
    <row r="173" spans="1:7" x14ac:dyDescent="0.2">
      <c r="A173" s="7">
        <f>Titanic_raw!A173</f>
        <v>1063</v>
      </c>
      <c r="B173" s="20" t="str">
        <f>Titanic_raw!D173</f>
        <v>Zakarian, Mr. Ortin</v>
      </c>
      <c r="C173" s="21" t="s">
        <v>609</v>
      </c>
      <c r="D173" s="22" t="str">
        <f t="shared" si="6"/>
        <v>Ortin</v>
      </c>
      <c r="E173" s="21" t="str">
        <f t="shared" si="7"/>
        <v>Zakarian</v>
      </c>
      <c r="F173" s="21" t="str">
        <f t="shared" si="8"/>
        <v>Mr. Ortin Zakarian</v>
      </c>
      <c r="G173" s="21" t="str">
        <f>PROPER(Titanic_raw!E173)</f>
        <v>Male</v>
      </c>
    </row>
    <row r="174" spans="1:7" x14ac:dyDescent="0.2">
      <c r="A174" s="7">
        <f>Titanic_raw!A174</f>
        <v>1064</v>
      </c>
      <c r="B174" s="16" t="str">
        <f>Titanic_raw!D174</f>
        <v>Dyker, Mr. Adolf Fredrik</v>
      </c>
      <c r="C174" s="17" t="s">
        <v>609</v>
      </c>
      <c r="D174" s="18" t="str">
        <f t="shared" si="6"/>
        <v>Adolf Fredrik</v>
      </c>
      <c r="E174" s="17" t="str">
        <f t="shared" si="7"/>
        <v>Dyker</v>
      </c>
      <c r="F174" s="17" t="str">
        <f t="shared" si="8"/>
        <v>Mr. Adolf Fredrik Dyker</v>
      </c>
      <c r="G174" s="17" t="str">
        <f>PROPER(Titanic_raw!E174)</f>
        <v>Male</v>
      </c>
    </row>
    <row r="175" spans="1:7" x14ac:dyDescent="0.2">
      <c r="A175" s="7">
        <f>Titanic_raw!A175</f>
        <v>1065</v>
      </c>
      <c r="B175" s="20" t="str">
        <f>Titanic_raw!D175</f>
        <v>Torfa, Mr. Assad</v>
      </c>
      <c r="C175" s="21" t="s">
        <v>609</v>
      </c>
      <c r="D175" s="22" t="str">
        <f t="shared" si="6"/>
        <v>Assad</v>
      </c>
      <c r="E175" s="21" t="str">
        <f t="shared" si="7"/>
        <v>Torfa</v>
      </c>
      <c r="F175" s="21" t="str">
        <f t="shared" si="8"/>
        <v>Mr. Assad Torfa</v>
      </c>
      <c r="G175" s="21" t="str">
        <f>PROPER(Titanic_raw!E175)</f>
        <v>Male</v>
      </c>
    </row>
    <row r="176" spans="1:7" x14ac:dyDescent="0.2">
      <c r="A176" s="7">
        <f>Titanic_raw!A176</f>
        <v>1066</v>
      </c>
      <c r="B176" s="16" t="str">
        <f>Titanic_raw!D176</f>
        <v>Asplund, Mr. Carl Oscar Vilhelm Gustafsson</v>
      </c>
      <c r="C176" s="17" t="s">
        <v>609</v>
      </c>
      <c r="D176" s="18" t="str">
        <f t="shared" si="6"/>
        <v>Carl Oscar Vilhelm Gustafsson</v>
      </c>
      <c r="E176" s="17" t="str">
        <f t="shared" si="7"/>
        <v>Asplund</v>
      </c>
      <c r="F176" s="17" t="str">
        <f t="shared" si="8"/>
        <v>Mr. Carl Oscar Vilhelm Gustafsson Asplund</v>
      </c>
      <c r="G176" s="17" t="str">
        <f>PROPER(Titanic_raw!E176)</f>
        <v>Male</v>
      </c>
    </row>
    <row r="177" spans="1:7" x14ac:dyDescent="0.2">
      <c r="A177" s="7">
        <f>Titanic_raw!A177</f>
        <v>1067</v>
      </c>
      <c r="B177" s="20" t="str">
        <f>Titanic_raw!D177</f>
        <v>Brown, Miss. Edith Eileen</v>
      </c>
      <c r="C177" s="21" t="s">
        <v>611</v>
      </c>
      <c r="D177" s="22" t="str">
        <f t="shared" si="6"/>
        <v>Edith Eileen</v>
      </c>
      <c r="E177" s="21" t="str">
        <f t="shared" si="7"/>
        <v>Brown</v>
      </c>
      <c r="F177" s="21" t="str">
        <f t="shared" si="8"/>
        <v>Miss. Edith Eileen Brown</v>
      </c>
      <c r="G177" s="21" t="str">
        <f>PROPER(Titanic_raw!E177)</f>
        <v>Female</v>
      </c>
    </row>
    <row r="178" spans="1:7" x14ac:dyDescent="0.2">
      <c r="A178" s="7">
        <f>Titanic_raw!A178</f>
        <v>1068</v>
      </c>
      <c r="B178" s="16" t="str">
        <f>Titanic_raw!D178</f>
        <v>Sincock, Miss. Maude</v>
      </c>
      <c r="C178" s="17" t="s">
        <v>611</v>
      </c>
      <c r="D178" s="18" t="str">
        <f t="shared" si="6"/>
        <v>Maude</v>
      </c>
      <c r="E178" s="17" t="str">
        <f t="shared" si="7"/>
        <v>Sincock</v>
      </c>
      <c r="F178" s="17" t="str">
        <f t="shared" si="8"/>
        <v>Miss. Maude Sincock</v>
      </c>
      <c r="G178" s="17" t="str">
        <f>PROPER(Titanic_raw!E178)</f>
        <v>Female</v>
      </c>
    </row>
    <row r="179" spans="1:7" x14ac:dyDescent="0.2">
      <c r="A179" s="7">
        <f>Titanic_raw!A179</f>
        <v>1069</v>
      </c>
      <c r="B179" s="20" t="str">
        <f>Titanic_raw!D179</f>
        <v>Stengel, Mr. Charles Emil Henry</v>
      </c>
      <c r="C179" s="21" t="s">
        <v>609</v>
      </c>
      <c r="D179" s="22" t="str">
        <f t="shared" si="6"/>
        <v>Charles Emil Henry</v>
      </c>
      <c r="E179" s="21" t="str">
        <f t="shared" si="7"/>
        <v>Stengel</v>
      </c>
      <c r="F179" s="21" t="str">
        <f t="shared" si="8"/>
        <v>Mr. Charles Emil Henry Stengel</v>
      </c>
      <c r="G179" s="21" t="str">
        <f>PROPER(Titanic_raw!E179)</f>
        <v>Male</v>
      </c>
    </row>
    <row r="180" spans="1:7" x14ac:dyDescent="0.2">
      <c r="A180" s="7">
        <f>Titanic_raw!A180</f>
        <v>1070</v>
      </c>
      <c r="B180" s="16" t="str">
        <f>Titanic_raw!D180</f>
        <v>Becker, Mrs. Allen Oliver (Nellie E Baumgardner)</v>
      </c>
      <c r="C180" s="17" t="s">
        <v>610</v>
      </c>
      <c r="D180" s="18" t="str">
        <f t="shared" si="6"/>
        <v>Allen Oliver (Nellie E Baumgardner)</v>
      </c>
      <c r="E180" s="17" t="str">
        <f t="shared" si="7"/>
        <v>Becker</v>
      </c>
      <c r="F180" s="17" t="str">
        <f t="shared" si="8"/>
        <v>Mrs. Allen Oliver (Nellie E Baumgardner) Becker</v>
      </c>
      <c r="G180" s="17" t="str">
        <f>PROPER(Titanic_raw!E180)</f>
        <v>Female</v>
      </c>
    </row>
    <row r="181" spans="1:7" x14ac:dyDescent="0.2">
      <c r="A181" s="7">
        <f>Titanic_raw!A181</f>
        <v>1071</v>
      </c>
      <c r="B181" s="20" t="str">
        <f>Titanic_raw!D181</f>
        <v>Compton, Mrs. Alexander Taylor (Mary Eliza Ingersoll)</v>
      </c>
      <c r="C181" s="21" t="s">
        <v>610</v>
      </c>
      <c r="D181" s="22" t="str">
        <f t="shared" si="6"/>
        <v>Alexander Taylor (Mary Eliza Ingersoll)</v>
      </c>
      <c r="E181" s="21" t="str">
        <f t="shared" si="7"/>
        <v>Compton</v>
      </c>
      <c r="F181" s="21" t="str">
        <f t="shared" si="8"/>
        <v>Mrs. Alexander Taylor (Mary Eliza Ingersoll) Compton</v>
      </c>
      <c r="G181" s="21" t="str">
        <f>PROPER(Titanic_raw!E181)</f>
        <v>Female</v>
      </c>
    </row>
    <row r="182" spans="1:7" x14ac:dyDescent="0.2">
      <c r="A182" s="7">
        <f>Titanic_raw!A182</f>
        <v>1072</v>
      </c>
      <c r="B182" s="16" t="str">
        <f>Titanic_raw!D182</f>
        <v>McCrie, Mr. James Matthew</v>
      </c>
      <c r="C182" s="17" t="s">
        <v>609</v>
      </c>
      <c r="D182" s="18" t="str">
        <f t="shared" si="6"/>
        <v>James Matthew</v>
      </c>
      <c r="E182" s="17" t="str">
        <f t="shared" si="7"/>
        <v>McCrie</v>
      </c>
      <c r="F182" s="17" t="str">
        <f t="shared" si="8"/>
        <v>Mr. James Matthew McCrie</v>
      </c>
      <c r="G182" s="17" t="str">
        <f>PROPER(Titanic_raw!E182)</f>
        <v>Male</v>
      </c>
    </row>
    <row r="183" spans="1:7" x14ac:dyDescent="0.2">
      <c r="A183" s="7">
        <f>Titanic_raw!A183</f>
        <v>1073</v>
      </c>
      <c r="B183" s="20" t="str">
        <f>Titanic_raw!D183</f>
        <v>Compton, Mr. Alexander Taylor Jr</v>
      </c>
      <c r="C183" s="21" t="s">
        <v>609</v>
      </c>
      <c r="D183" s="22" t="str">
        <f t="shared" si="6"/>
        <v>Alexander Taylor Jr</v>
      </c>
      <c r="E183" s="21" t="str">
        <f t="shared" si="7"/>
        <v>Compton</v>
      </c>
      <c r="F183" s="21" t="str">
        <f t="shared" si="8"/>
        <v>Mr. Alexander Taylor Jr Compton</v>
      </c>
      <c r="G183" s="21" t="str">
        <f>PROPER(Titanic_raw!E183)</f>
        <v>Male</v>
      </c>
    </row>
    <row r="184" spans="1:7" x14ac:dyDescent="0.2">
      <c r="A184" s="7">
        <f>Titanic_raw!A184</f>
        <v>1074</v>
      </c>
      <c r="B184" s="16" t="str">
        <f>Titanic_raw!D184</f>
        <v>Marvin, Mrs. Daniel Warner (Mary Graham Carmichael Farquarson)</v>
      </c>
      <c r="C184" s="17" t="s">
        <v>610</v>
      </c>
      <c r="D184" s="18" t="str">
        <f t="shared" si="6"/>
        <v>Daniel Warner (Mary Graham Carmichael Farquarson)</v>
      </c>
      <c r="E184" s="17" t="str">
        <f t="shared" si="7"/>
        <v>Marvin</v>
      </c>
      <c r="F184" s="17" t="str">
        <f t="shared" si="8"/>
        <v>Mrs. Daniel Warner (Mary Graham Carmichael Farquarson) Marvin</v>
      </c>
      <c r="G184" s="17" t="str">
        <f>PROPER(Titanic_raw!E184)</f>
        <v>Female</v>
      </c>
    </row>
    <row r="185" spans="1:7" x14ac:dyDescent="0.2">
      <c r="A185" s="7">
        <f>Titanic_raw!A185</f>
        <v>1075</v>
      </c>
      <c r="B185" s="20" t="str">
        <f>Titanic_raw!D185</f>
        <v>Lane, Mr. Patrick</v>
      </c>
      <c r="C185" s="21" t="s">
        <v>609</v>
      </c>
      <c r="D185" s="22" t="str">
        <f t="shared" si="6"/>
        <v>Patrick</v>
      </c>
      <c r="E185" s="21" t="str">
        <f t="shared" si="7"/>
        <v>Lane</v>
      </c>
      <c r="F185" s="21" t="str">
        <f t="shared" si="8"/>
        <v>Mr. Patrick Lane</v>
      </c>
      <c r="G185" s="21" t="str">
        <f>PROPER(Titanic_raw!E185)</f>
        <v>Male</v>
      </c>
    </row>
    <row r="186" spans="1:7" x14ac:dyDescent="0.2">
      <c r="A186" s="7">
        <f>Titanic_raw!A186</f>
        <v>1076</v>
      </c>
      <c r="B186" s="16" t="str">
        <f>Titanic_raw!D186</f>
        <v>Douglas, Mrs. Frederick Charles (Mary Helene Baxter)</v>
      </c>
      <c r="C186" s="17" t="s">
        <v>610</v>
      </c>
      <c r="D186" s="18" t="str">
        <f t="shared" si="6"/>
        <v>Frederick Charles (Mary Helene Baxter)</v>
      </c>
      <c r="E186" s="17" t="str">
        <f t="shared" si="7"/>
        <v>Douglas</v>
      </c>
      <c r="F186" s="17" t="str">
        <f t="shared" si="8"/>
        <v>Mrs. Frederick Charles (Mary Helene Baxter) Douglas</v>
      </c>
      <c r="G186" s="17" t="str">
        <f>PROPER(Titanic_raw!E186)</f>
        <v>Female</v>
      </c>
    </row>
    <row r="187" spans="1:7" x14ac:dyDescent="0.2">
      <c r="A187" s="7">
        <f>Titanic_raw!A187</f>
        <v>1077</v>
      </c>
      <c r="B187" s="20" t="str">
        <f>Titanic_raw!D187</f>
        <v>Maybery, Mr. Frank Hubert</v>
      </c>
      <c r="C187" s="21" t="s">
        <v>609</v>
      </c>
      <c r="D187" s="22" t="str">
        <f t="shared" si="6"/>
        <v>Frank Hubert</v>
      </c>
      <c r="E187" s="21" t="str">
        <f t="shared" si="7"/>
        <v>Maybery</v>
      </c>
      <c r="F187" s="21" t="str">
        <f t="shared" si="8"/>
        <v>Mr. Frank Hubert Maybery</v>
      </c>
      <c r="G187" s="21" t="str">
        <f>PROPER(Titanic_raw!E187)</f>
        <v>Male</v>
      </c>
    </row>
    <row r="188" spans="1:7" x14ac:dyDescent="0.2">
      <c r="A188" s="7">
        <f>Titanic_raw!A188</f>
        <v>1078</v>
      </c>
      <c r="B188" s="16" t="str">
        <f>Titanic_raw!D188</f>
        <v>Phillips, Miss. Alice Frances Louisa</v>
      </c>
      <c r="C188" s="17" t="s">
        <v>611</v>
      </c>
      <c r="D188" s="18" t="str">
        <f t="shared" si="6"/>
        <v>Alice Frances Louisa</v>
      </c>
      <c r="E188" s="17" t="str">
        <f t="shared" si="7"/>
        <v>Phillips</v>
      </c>
      <c r="F188" s="17" t="str">
        <f t="shared" si="8"/>
        <v>Miss. Alice Frances Louisa Phillips</v>
      </c>
      <c r="G188" s="17" t="str">
        <f>PROPER(Titanic_raw!E188)</f>
        <v>Female</v>
      </c>
    </row>
    <row r="189" spans="1:7" x14ac:dyDescent="0.2">
      <c r="A189" s="7">
        <f>Titanic_raw!A189</f>
        <v>1079</v>
      </c>
      <c r="B189" s="20" t="str">
        <f>Titanic_raw!D189</f>
        <v>Davies, Mr. Joseph</v>
      </c>
      <c r="C189" s="21" t="s">
        <v>609</v>
      </c>
      <c r="D189" s="22" t="str">
        <f t="shared" si="6"/>
        <v>Joseph</v>
      </c>
      <c r="E189" s="21" t="str">
        <f t="shared" si="7"/>
        <v>Davies</v>
      </c>
      <c r="F189" s="21" t="str">
        <f t="shared" si="8"/>
        <v>Mr. Joseph Davies</v>
      </c>
      <c r="G189" s="21" t="str">
        <f>PROPER(Titanic_raw!E189)</f>
        <v>Male</v>
      </c>
    </row>
    <row r="190" spans="1:7" x14ac:dyDescent="0.2">
      <c r="A190" s="7">
        <f>Titanic_raw!A190</f>
        <v>1080</v>
      </c>
      <c r="B190" s="16" t="str">
        <f>Titanic_raw!D190</f>
        <v>Sage, Miss. Ada</v>
      </c>
      <c r="C190" s="17" t="s">
        <v>611</v>
      </c>
      <c r="D190" s="18" t="str">
        <f t="shared" si="6"/>
        <v>Ada</v>
      </c>
      <c r="E190" s="17" t="str">
        <f t="shared" si="7"/>
        <v>Sage</v>
      </c>
      <c r="F190" s="17" t="str">
        <f t="shared" si="8"/>
        <v>Miss. Ada Sage</v>
      </c>
      <c r="G190" s="17" t="str">
        <f>PROPER(Titanic_raw!E190)</f>
        <v>Female</v>
      </c>
    </row>
    <row r="191" spans="1:7" x14ac:dyDescent="0.2">
      <c r="A191" s="7">
        <f>Titanic_raw!A191</f>
        <v>1081</v>
      </c>
      <c r="B191" s="20" t="str">
        <f>Titanic_raw!D191</f>
        <v>Veal, Mr. James</v>
      </c>
      <c r="C191" s="21" t="s">
        <v>609</v>
      </c>
      <c r="D191" s="22" t="str">
        <f t="shared" si="6"/>
        <v>James</v>
      </c>
      <c r="E191" s="21" t="str">
        <f t="shared" si="7"/>
        <v>Veal</v>
      </c>
      <c r="F191" s="21" t="str">
        <f t="shared" si="8"/>
        <v>Mr. James Veal</v>
      </c>
      <c r="G191" s="21" t="str">
        <f>PROPER(Titanic_raw!E191)</f>
        <v>Male</v>
      </c>
    </row>
    <row r="192" spans="1:7" x14ac:dyDescent="0.2">
      <c r="A192" s="7">
        <f>Titanic_raw!A192</f>
        <v>1082</v>
      </c>
      <c r="B192" s="16" t="str">
        <f>Titanic_raw!D192</f>
        <v>Angle, Mr. William A</v>
      </c>
      <c r="C192" s="17" t="s">
        <v>609</v>
      </c>
      <c r="D192" s="18" t="str">
        <f t="shared" si="6"/>
        <v>William A</v>
      </c>
      <c r="E192" s="17" t="str">
        <f t="shared" si="7"/>
        <v>Angle</v>
      </c>
      <c r="F192" s="17" t="str">
        <f t="shared" si="8"/>
        <v>Mr. William A Angle</v>
      </c>
      <c r="G192" s="17" t="str">
        <f>PROPER(Titanic_raw!E192)</f>
        <v>Male</v>
      </c>
    </row>
    <row r="193" spans="1:7" x14ac:dyDescent="0.2">
      <c r="A193" s="7">
        <f>Titanic_raw!A193</f>
        <v>1083</v>
      </c>
      <c r="B193" s="20" t="str">
        <f>Titanic_raw!D193</f>
        <v>Salomon, Mr. Abraham L</v>
      </c>
      <c r="C193" s="21" t="s">
        <v>609</v>
      </c>
      <c r="D193" s="22" t="str">
        <f t="shared" si="6"/>
        <v>Abraham L</v>
      </c>
      <c r="E193" s="21" t="str">
        <f t="shared" si="7"/>
        <v>Salomon</v>
      </c>
      <c r="F193" s="21" t="str">
        <f t="shared" si="8"/>
        <v>Mr. Abraham L Salomon</v>
      </c>
      <c r="G193" s="21" t="str">
        <f>PROPER(Titanic_raw!E193)</f>
        <v>Male</v>
      </c>
    </row>
    <row r="194" spans="1:7" x14ac:dyDescent="0.2">
      <c r="A194" s="7">
        <f>Titanic_raw!A194</f>
        <v>1084</v>
      </c>
      <c r="B194" s="16" t="str">
        <f>Titanic_raw!D194</f>
        <v>van Billiard, Master. Walter John</v>
      </c>
      <c r="C194" s="17" t="s">
        <v>612</v>
      </c>
      <c r="D194" s="18" t="str">
        <f t="shared" si="6"/>
        <v>Walter John</v>
      </c>
      <c r="E194" s="17" t="str">
        <f t="shared" si="7"/>
        <v>van Billiard</v>
      </c>
      <c r="F194" s="17" t="str">
        <f t="shared" si="8"/>
        <v>Master. Walter John van Billiard</v>
      </c>
      <c r="G194" s="17" t="str">
        <f>PROPER(Titanic_raw!E194)</f>
        <v>Male</v>
      </c>
    </row>
    <row r="195" spans="1:7" x14ac:dyDescent="0.2">
      <c r="A195" s="7">
        <f>Titanic_raw!A195</f>
        <v>1085</v>
      </c>
      <c r="B195" s="20" t="str">
        <f>Titanic_raw!D195</f>
        <v>Lingane, Mr. John</v>
      </c>
      <c r="C195" s="21" t="s">
        <v>609</v>
      </c>
      <c r="D195" s="22" t="str">
        <f t="shared" ref="D195:D258" si="9">RIGHT(B195,LEN(B195)-FIND(".",B195)-1)</f>
        <v>John</v>
      </c>
      <c r="E195" s="21" t="str">
        <f t="shared" ref="E195:E258" si="10">LEFT(B195,FIND(",",B195)-1)</f>
        <v>Lingane</v>
      </c>
      <c r="F195" s="21" t="str">
        <f t="shared" ref="F195:F258" si="11">CONCATENATE(C195," ",D195," ",E195)</f>
        <v>Mr. John Lingane</v>
      </c>
      <c r="G195" s="21" t="str">
        <f>PROPER(Titanic_raw!E195)</f>
        <v>Male</v>
      </c>
    </row>
    <row r="196" spans="1:7" x14ac:dyDescent="0.2">
      <c r="A196" s="7">
        <f>Titanic_raw!A196</f>
        <v>1086</v>
      </c>
      <c r="B196" s="16" t="str">
        <f>Titanic_raw!D196</f>
        <v>Drew, Master. Marshall Brines</v>
      </c>
      <c r="C196" s="17" t="s">
        <v>612</v>
      </c>
      <c r="D196" s="18" t="str">
        <f t="shared" si="9"/>
        <v>Marshall Brines</v>
      </c>
      <c r="E196" s="17" t="str">
        <f t="shared" si="10"/>
        <v>Drew</v>
      </c>
      <c r="F196" s="17" t="str">
        <f t="shared" si="11"/>
        <v>Master. Marshall Brines Drew</v>
      </c>
      <c r="G196" s="17" t="str">
        <f>PROPER(Titanic_raw!E196)</f>
        <v>Male</v>
      </c>
    </row>
    <row r="197" spans="1:7" x14ac:dyDescent="0.2">
      <c r="A197" s="7">
        <f>Titanic_raw!A197</f>
        <v>1087</v>
      </c>
      <c r="B197" s="20" t="str">
        <f>Titanic_raw!D197</f>
        <v>Karlsson, Mr. Julius Konrad Eugen</v>
      </c>
      <c r="C197" s="21" t="s">
        <v>609</v>
      </c>
      <c r="D197" s="22" t="str">
        <f t="shared" si="9"/>
        <v>Julius Konrad Eugen</v>
      </c>
      <c r="E197" s="21" t="str">
        <f t="shared" si="10"/>
        <v>Karlsson</v>
      </c>
      <c r="F197" s="21" t="str">
        <f t="shared" si="11"/>
        <v>Mr. Julius Konrad Eugen Karlsson</v>
      </c>
      <c r="G197" s="21" t="str">
        <f>PROPER(Titanic_raw!E197)</f>
        <v>Male</v>
      </c>
    </row>
    <row r="198" spans="1:7" x14ac:dyDescent="0.2">
      <c r="A198" s="7">
        <f>Titanic_raw!A198</f>
        <v>1088</v>
      </c>
      <c r="B198" s="16" t="str">
        <f>Titanic_raw!D198</f>
        <v>Spedden, Master. Robert Douglas</v>
      </c>
      <c r="C198" s="17" t="s">
        <v>612</v>
      </c>
      <c r="D198" s="18" t="str">
        <f t="shared" si="9"/>
        <v>Robert Douglas</v>
      </c>
      <c r="E198" s="17" t="str">
        <f t="shared" si="10"/>
        <v>Spedden</v>
      </c>
      <c r="F198" s="17" t="str">
        <f t="shared" si="11"/>
        <v>Master. Robert Douglas Spedden</v>
      </c>
      <c r="G198" s="17" t="str">
        <f>PROPER(Titanic_raw!E198)</f>
        <v>Male</v>
      </c>
    </row>
    <row r="199" spans="1:7" x14ac:dyDescent="0.2">
      <c r="A199" s="7">
        <f>Titanic_raw!A199</f>
        <v>1089</v>
      </c>
      <c r="B199" s="20" t="str">
        <f>Titanic_raw!D199</f>
        <v>Nilsson, Miss. Berta Olivia</v>
      </c>
      <c r="C199" s="21" t="s">
        <v>611</v>
      </c>
      <c r="D199" s="22" t="str">
        <f t="shared" si="9"/>
        <v>Berta Olivia</v>
      </c>
      <c r="E199" s="21" t="str">
        <f t="shared" si="10"/>
        <v>Nilsson</v>
      </c>
      <c r="F199" s="21" t="str">
        <f t="shared" si="11"/>
        <v>Miss. Berta Olivia Nilsson</v>
      </c>
      <c r="G199" s="21" t="str">
        <f>PROPER(Titanic_raw!E199)</f>
        <v>Female</v>
      </c>
    </row>
    <row r="200" spans="1:7" x14ac:dyDescent="0.2">
      <c r="A200" s="7">
        <f>Titanic_raw!A200</f>
        <v>1090</v>
      </c>
      <c r="B200" s="16" t="str">
        <f>Titanic_raw!D200</f>
        <v>Baimbrigge, Mr. Charles Robert</v>
      </c>
      <c r="C200" s="17" t="s">
        <v>609</v>
      </c>
      <c r="D200" s="18" t="str">
        <f t="shared" si="9"/>
        <v>Charles Robert</v>
      </c>
      <c r="E200" s="17" t="str">
        <f t="shared" si="10"/>
        <v>Baimbrigge</v>
      </c>
      <c r="F200" s="17" t="str">
        <f t="shared" si="11"/>
        <v>Mr. Charles Robert Baimbrigge</v>
      </c>
      <c r="G200" s="17" t="str">
        <f>PROPER(Titanic_raw!E200)</f>
        <v>Male</v>
      </c>
    </row>
    <row r="201" spans="1:7" x14ac:dyDescent="0.2">
      <c r="A201" s="7">
        <f>Titanic_raw!A201</f>
        <v>1091</v>
      </c>
      <c r="B201" s="20" t="str">
        <f>Titanic_raw!D201</f>
        <v>Rasmussen, Mrs. (Lena Jacobsen Solvang)</v>
      </c>
      <c r="C201" s="21" t="s">
        <v>610</v>
      </c>
      <c r="D201" s="22" t="str">
        <f t="shared" si="9"/>
        <v>(Lena Jacobsen Solvang)</v>
      </c>
      <c r="E201" s="21" t="str">
        <f t="shared" si="10"/>
        <v>Rasmussen</v>
      </c>
      <c r="F201" s="21" t="str">
        <f t="shared" si="11"/>
        <v>Mrs. (Lena Jacobsen Solvang) Rasmussen</v>
      </c>
      <c r="G201" s="21" t="str">
        <f>PROPER(Titanic_raw!E201)</f>
        <v>Female</v>
      </c>
    </row>
    <row r="202" spans="1:7" x14ac:dyDescent="0.2">
      <c r="A202" s="7">
        <f>Titanic_raw!A202</f>
        <v>1092</v>
      </c>
      <c r="B202" s="16" t="str">
        <f>Titanic_raw!D202</f>
        <v>Murphy, Miss. Nora</v>
      </c>
      <c r="C202" s="17" t="s">
        <v>611</v>
      </c>
      <c r="D202" s="18" t="str">
        <f t="shared" si="9"/>
        <v>Nora</v>
      </c>
      <c r="E202" s="17" t="str">
        <f t="shared" si="10"/>
        <v>Murphy</v>
      </c>
      <c r="F202" s="17" t="str">
        <f t="shared" si="11"/>
        <v>Miss. Nora Murphy</v>
      </c>
      <c r="G202" s="17" t="str">
        <f>PROPER(Titanic_raw!E202)</f>
        <v>Female</v>
      </c>
    </row>
    <row r="203" spans="1:7" x14ac:dyDescent="0.2">
      <c r="A203" s="7">
        <f>Titanic_raw!A203</f>
        <v>1093</v>
      </c>
      <c r="B203" s="20" t="str">
        <f>Titanic_raw!D203</f>
        <v>Danbom, Master. Gilbert Sigvard Emanuel</v>
      </c>
      <c r="C203" s="21" t="s">
        <v>612</v>
      </c>
      <c r="D203" s="22" t="str">
        <f t="shared" si="9"/>
        <v>Gilbert Sigvard Emanuel</v>
      </c>
      <c r="E203" s="21" t="str">
        <f t="shared" si="10"/>
        <v>Danbom</v>
      </c>
      <c r="F203" s="21" t="str">
        <f t="shared" si="11"/>
        <v>Master. Gilbert Sigvard Emanuel Danbom</v>
      </c>
      <c r="G203" s="21" t="str">
        <f>PROPER(Titanic_raw!E203)</f>
        <v>Male</v>
      </c>
    </row>
    <row r="204" spans="1:7" x14ac:dyDescent="0.2">
      <c r="A204" s="7">
        <f>Titanic_raw!A204</f>
        <v>1094</v>
      </c>
      <c r="B204" s="16" t="str">
        <f>Titanic_raw!D204</f>
        <v>Astor, Col. John Jacob</v>
      </c>
      <c r="C204" s="17" t="s">
        <v>614</v>
      </c>
      <c r="D204" s="18" t="str">
        <f t="shared" si="9"/>
        <v>John Jacob</v>
      </c>
      <c r="E204" s="17" t="str">
        <f t="shared" si="10"/>
        <v>Astor</v>
      </c>
      <c r="F204" s="17" t="str">
        <f t="shared" si="11"/>
        <v>Col. John Jacob Astor</v>
      </c>
      <c r="G204" s="17" t="str">
        <f>PROPER(Titanic_raw!E204)</f>
        <v>Male</v>
      </c>
    </row>
    <row r="205" spans="1:7" x14ac:dyDescent="0.2">
      <c r="A205" s="7">
        <f>Titanic_raw!A205</f>
        <v>1095</v>
      </c>
      <c r="B205" s="20" t="str">
        <f>Titanic_raw!D205</f>
        <v>Quick, Miss. Winifred Vera</v>
      </c>
      <c r="C205" s="21" t="s">
        <v>611</v>
      </c>
      <c r="D205" s="22" t="str">
        <f t="shared" si="9"/>
        <v>Winifred Vera</v>
      </c>
      <c r="E205" s="21" t="str">
        <f t="shared" si="10"/>
        <v>Quick</v>
      </c>
      <c r="F205" s="21" t="str">
        <f t="shared" si="11"/>
        <v>Miss. Winifred Vera Quick</v>
      </c>
      <c r="G205" s="21" t="str">
        <f>PROPER(Titanic_raw!E205)</f>
        <v>Female</v>
      </c>
    </row>
    <row r="206" spans="1:7" x14ac:dyDescent="0.2">
      <c r="A206" s="7">
        <f>Titanic_raw!A206</f>
        <v>1096</v>
      </c>
      <c r="B206" s="16" t="str">
        <f>Titanic_raw!D206</f>
        <v>Andrew, Mr. Frank Thomas</v>
      </c>
      <c r="C206" s="17" t="s">
        <v>609</v>
      </c>
      <c r="D206" s="18" t="str">
        <f t="shared" si="9"/>
        <v>Frank Thomas</v>
      </c>
      <c r="E206" s="17" t="str">
        <f t="shared" si="10"/>
        <v>Andrew</v>
      </c>
      <c r="F206" s="17" t="str">
        <f t="shared" si="11"/>
        <v>Mr. Frank Thomas Andrew</v>
      </c>
      <c r="G206" s="17" t="str">
        <f>PROPER(Titanic_raw!E206)</f>
        <v>Male</v>
      </c>
    </row>
    <row r="207" spans="1:7" x14ac:dyDescent="0.2">
      <c r="A207" s="7">
        <f>Titanic_raw!A207</f>
        <v>1097</v>
      </c>
      <c r="B207" s="20" t="str">
        <f>Titanic_raw!D207</f>
        <v>Omont, Mr. Alfred Fernand</v>
      </c>
      <c r="C207" s="21" t="s">
        <v>609</v>
      </c>
      <c r="D207" s="22" t="str">
        <f t="shared" si="9"/>
        <v>Alfred Fernand</v>
      </c>
      <c r="E207" s="21" t="str">
        <f t="shared" si="10"/>
        <v>Omont</v>
      </c>
      <c r="F207" s="21" t="str">
        <f t="shared" si="11"/>
        <v>Mr. Alfred Fernand Omont</v>
      </c>
      <c r="G207" s="21" t="str">
        <f>PROPER(Titanic_raw!E207)</f>
        <v>Male</v>
      </c>
    </row>
    <row r="208" spans="1:7" x14ac:dyDescent="0.2">
      <c r="A208" s="7">
        <f>Titanic_raw!A208</f>
        <v>1098</v>
      </c>
      <c r="B208" s="16" t="str">
        <f>Titanic_raw!D208</f>
        <v>McGowan, Miss. Katherine</v>
      </c>
      <c r="C208" s="17" t="s">
        <v>611</v>
      </c>
      <c r="D208" s="18" t="str">
        <f t="shared" si="9"/>
        <v>Katherine</v>
      </c>
      <c r="E208" s="17" t="str">
        <f t="shared" si="10"/>
        <v>McGowan</v>
      </c>
      <c r="F208" s="17" t="str">
        <f t="shared" si="11"/>
        <v>Miss. Katherine McGowan</v>
      </c>
      <c r="G208" s="17" t="str">
        <f>PROPER(Titanic_raw!E208)</f>
        <v>Female</v>
      </c>
    </row>
    <row r="209" spans="1:7" x14ac:dyDescent="0.2">
      <c r="A209" s="7">
        <f>Titanic_raw!A209</f>
        <v>1099</v>
      </c>
      <c r="B209" s="20" t="str">
        <f>Titanic_raw!D209</f>
        <v>Collett, Mr. Sidney C Stuart</v>
      </c>
      <c r="C209" s="21" t="s">
        <v>609</v>
      </c>
      <c r="D209" s="22" t="str">
        <f t="shared" si="9"/>
        <v>Sidney C Stuart</v>
      </c>
      <c r="E209" s="21" t="str">
        <f t="shared" si="10"/>
        <v>Collett</v>
      </c>
      <c r="F209" s="21" t="str">
        <f t="shared" si="11"/>
        <v>Mr. Sidney C Stuart Collett</v>
      </c>
      <c r="G209" s="21" t="str">
        <f>PROPER(Titanic_raw!E209)</f>
        <v>Male</v>
      </c>
    </row>
    <row r="210" spans="1:7" x14ac:dyDescent="0.2">
      <c r="A210" s="7">
        <f>Titanic_raw!A210</f>
        <v>1100</v>
      </c>
      <c r="B210" s="16" t="str">
        <f>Titanic_raw!D210</f>
        <v>Rosenbaum, Miss. Edith Louise</v>
      </c>
      <c r="C210" s="17" t="s">
        <v>611</v>
      </c>
      <c r="D210" s="18" t="str">
        <f t="shared" si="9"/>
        <v>Edith Louise</v>
      </c>
      <c r="E210" s="17" t="str">
        <f t="shared" si="10"/>
        <v>Rosenbaum</v>
      </c>
      <c r="F210" s="17" t="str">
        <f t="shared" si="11"/>
        <v>Miss. Edith Louise Rosenbaum</v>
      </c>
      <c r="G210" s="17" t="str">
        <f>PROPER(Titanic_raw!E210)</f>
        <v>Female</v>
      </c>
    </row>
    <row r="211" spans="1:7" x14ac:dyDescent="0.2">
      <c r="A211" s="7">
        <f>Titanic_raw!A211</f>
        <v>1101</v>
      </c>
      <c r="B211" s="20" t="str">
        <f>Titanic_raw!D211</f>
        <v>Delalic, Mr. Redjo</v>
      </c>
      <c r="C211" s="21" t="s">
        <v>609</v>
      </c>
      <c r="D211" s="22" t="str">
        <f t="shared" si="9"/>
        <v>Redjo</v>
      </c>
      <c r="E211" s="21" t="str">
        <f t="shared" si="10"/>
        <v>Delalic</v>
      </c>
      <c r="F211" s="21" t="str">
        <f t="shared" si="11"/>
        <v>Mr. Redjo Delalic</v>
      </c>
      <c r="G211" s="21" t="str">
        <f>PROPER(Titanic_raw!E211)</f>
        <v>Male</v>
      </c>
    </row>
    <row r="212" spans="1:7" x14ac:dyDescent="0.2">
      <c r="A212" s="7">
        <f>Titanic_raw!A212</f>
        <v>1102</v>
      </c>
      <c r="B212" s="16" t="str">
        <f>Titanic_raw!D212</f>
        <v>Andersen, Mr. Albert Karvin</v>
      </c>
      <c r="C212" s="17" t="s">
        <v>609</v>
      </c>
      <c r="D212" s="18" t="str">
        <f t="shared" si="9"/>
        <v>Albert Karvin</v>
      </c>
      <c r="E212" s="17" t="str">
        <f t="shared" si="10"/>
        <v>Andersen</v>
      </c>
      <c r="F212" s="17" t="str">
        <f t="shared" si="11"/>
        <v>Mr. Albert Karvin Andersen</v>
      </c>
      <c r="G212" s="17" t="str">
        <f>PROPER(Titanic_raw!E212)</f>
        <v>Male</v>
      </c>
    </row>
    <row r="213" spans="1:7" x14ac:dyDescent="0.2">
      <c r="A213" s="7">
        <f>Titanic_raw!A213</f>
        <v>1103</v>
      </c>
      <c r="B213" s="20" t="str">
        <f>Titanic_raw!D213</f>
        <v>Finoli, Mr. Luigi</v>
      </c>
      <c r="C213" s="21" t="s">
        <v>609</v>
      </c>
      <c r="D213" s="22" t="str">
        <f t="shared" si="9"/>
        <v>Luigi</v>
      </c>
      <c r="E213" s="21" t="str">
        <f t="shared" si="10"/>
        <v>Finoli</v>
      </c>
      <c r="F213" s="21" t="str">
        <f t="shared" si="11"/>
        <v>Mr. Luigi Finoli</v>
      </c>
      <c r="G213" s="21" t="str">
        <f>PROPER(Titanic_raw!E213)</f>
        <v>Male</v>
      </c>
    </row>
    <row r="214" spans="1:7" x14ac:dyDescent="0.2">
      <c r="A214" s="7">
        <f>Titanic_raw!A214</f>
        <v>1104</v>
      </c>
      <c r="B214" s="16" t="str">
        <f>Titanic_raw!D214</f>
        <v>Deacon, Mr. Percy William</v>
      </c>
      <c r="C214" s="17" t="s">
        <v>609</v>
      </c>
      <c r="D214" s="18" t="str">
        <f t="shared" si="9"/>
        <v>Percy William</v>
      </c>
      <c r="E214" s="17" t="str">
        <f t="shared" si="10"/>
        <v>Deacon</v>
      </c>
      <c r="F214" s="17" t="str">
        <f t="shared" si="11"/>
        <v>Mr. Percy William Deacon</v>
      </c>
      <c r="G214" s="17" t="str">
        <f>PROPER(Titanic_raw!E214)</f>
        <v>Male</v>
      </c>
    </row>
    <row r="215" spans="1:7" x14ac:dyDescent="0.2">
      <c r="A215" s="7">
        <f>Titanic_raw!A215</f>
        <v>1105</v>
      </c>
      <c r="B215" s="20" t="str">
        <f>Titanic_raw!D215</f>
        <v>Howard, Mrs. Benjamin (Ellen Truelove Arman)</v>
      </c>
      <c r="C215" s="21" t="s">
        <v>610</v>
      </c>
      <c r="D215" s="22" t="str">
        <f t="shared" si="9"/>
        <v>Benjamin (Ellen Truelove Arman)</v>
      </c>
      <c r="E215" s="21" t="str">
        <f t="shared" si="10"/>
        <v>Howard</v>
      </c>
      <c r="F215" s="21" t="str">
        <f t="shared" si="11"/>
        <v>Mrs. Benjamin (Ellen Truelove Arman) Howard</v>
      </c>
      <c r="G215" s="21" t="str">
        <f>PROPER(Titanic_raw!E215)</f>
        <v>Female</v>
      </c>
    </row>
    <row r="216" spans="1:7" x14ac:dyDescent="0.2">
      <c r="A216" s="7">
        <f>Titanic_raw!A216</f>
        <v>1106</v>
      </c>
      <c r="B216" s="16" t="str">
        <f>Titanic_raw!D216</f>
        <v>Andersson, Miss. Ida Augusta Margareta</v>
      </c>
      <c r="C216" s="17" t="s">
        <v>611</v>
      </c>
      <c r="D216" s="18" t="str">
        <f t="shared" si="9"/>
        <v>Ida Augusta Margareta</v>
      </c>
      <c r="E216" s="17" t="str">
        <f t="shared" si="10"/>
        <v>Andersson</v>
      </c>
      <c r="F216" s="17" t="str">
        <f t="shared" si="11"/>
        <v>Miss. Ida Augusta Margareta Andersson</v>
      </c>
      <c r="G216" s="17" t="str">
        <f>PROPER(Titanic_raw!E216)</f>
        <v>Female</v>
      </c>
    </row>
    <row r="217" spans="1:7" x14ac:dyDescent="0.2">
      <c r="A217" s="7">
        <f>Titanic_raw!A217</f>
        <v>1107</v>
      </c>
      <c r="B217" s="20" t="str">
        <f>Titanic_raw!D217</f>
        <v>Head, Mr. Christopher</v>
      </c>
      <c r="C217" s="21" t="s">
        <v>609</v>
      </c>
      <c r="D217" s="22" t="str">
        <f t="shared" si="9"/>
        <v>Christopher</v>
      </c>
      <c r="E217" s="21" t="str">
        <f t="shared" si="10"/>
        <v>Head</v>
      </c>
      <c r="F217" s="21" t="str">
        <f t="shared" si="11"/>
        <v>Mr. Christopher Head</v>
      </c>
      <c r="G217" s="21" t="str">
        <f>PROPER(Titanic_raw!E217)</f>
        <v>Male</v>
      </c>
    </row>
    <row r="218" spans="1:7" x14ac:dyDescent="0.2">
      <c r="A218" s="7">
        <f>Titanic_raw!A218</f>
        <v>1108</v>
      </c>
      <c r="B218" s="16" t="str">
        <f>Titanic_raw!D218</f>
        <v>Mahon, Miss. Bridget Delia</v>
      </c>
      <c r="C218" s="17" t="s">
        <v>611</v>
      </c>
      <c r="D218" s="18" t="str">
        <f t="shared" si="9"/>
        <v>Bridget Delia</v>
      </c>
      <c r="E218" s="17" t="str">
        <f t="shared" si="10"/>
        <v>Mahon</v>
      </c>
      <c r="F218" s="17" t="str">
        <f t="shared" si="11"/>
        <v>Miss. Bridget Delia Mahon</v>
      </c>
      <c r="G218" s="17" t="str">
        <f>PROPER(Titanic_raw!E218)</f>
        <v>Female</v>
      </c>
    </row>
    <row r="219" spans="1:7" x14ac:dyDescent="0.2">
      <c r="A219" s="7">
        <f>Titanic_raw!A219</f>
        <v>1109</v>
      </c>
      <c r="B219" s="20" t="str">
        <f>Titanic_raw!D219</f>
        <v>Wick, Mr. George Dennick</v>
      </c>
      <c r="C219" s="21" t="s">
        <v>609</v>
      </c>
      <c r="D219" s="22" t="str">
        <f t="shared" si="9"/>
        <v>George Dennick</v>
      </c>
      <c r="E219" s="21" t="str">
        <f t="shared" si="10"/>
        <v>Wick</v>
      </c>
      <c r="F219" s="21" t="str">
        <f t="shared" si="11"/>
        <v>Mr. George Dennick Wick</v>
      </c>
      <c r="G219" s="21" t="str">
        <f>PROPER(Titanic_raw!E219)</f>
        <v>Male</v>
      </c>
    </row>
    <row r="220" spans="1:7" x14ac:dyDescent="0.2">
      <c r="A220" s="7">
        <f>Titanic_raw!A220</f>
        <v>1110</v>
      </c>
      <c r="B220" s="16" t="str">
        <f>Titanic_raw!D220</f>
        <v>Widener, Mrs. George Dunton (Eleanor Elkins)</v>
      </c>
      <c r="C220" s="17" t="s">
        <v>610</v>
      </c>
      <c r="D220" s="18" t="str">
        <f t="shared" si="9"/>
        <v>George Dunton (Eleanor Elkins)</v>
      </c>
      <c r="E220" s="17" t="str">
        <f t="shared" si="10"/>
        <v>Widener</v>
      </c>
      <c r="F220" s="17" t="str">
        <f t="shared" si="11"/>
        <v>Mrs. George Dunton (Eleanor Elkins) Widener</v>
      </c>
      <c r="G220" s="17" t="str">
        <f>PROPER(Titanic_raw!E220)</f>
        <v>Female</v>
      </c>
    </row>
    <row r="221" spans="1:7" x14ac:dyDescent="0.2">
      <c r="A221" s="7">
        <f>Titanic_raw!A221</f>
        <v>1111</v>
      </c>
      <c r="B221" s="20" t="str">
        <f>Titanic_raw!D221</f>
        <v>Thomson, Mr. Alexander Morrison</v>
      </c>
      <c r="C221" s="21" t="s">
        <v>609</v>
      </c>
      <c r="D221" s="22" t="str">
        <f t="shared" si="9"/>
        <v>Alexander Morrison</v>
      </c>
      <c r="E221" s="21" t="str">
        <f t="shared" si="10"/>
        <v>Thomson</v>
      </c>
      <c r="F221" s="21" t="str">
        <f t="shared" si="11"/>
        <v>Mr. Alexander Morrison Thomson</v>
      </c>
      <c r="G221" s="21" t="str">
        <f>PROPER(Titanic_raw!E221)</f>
        <v>Male</v>
      </c>
    </row>
    <row r="222" spans="1:7" x14ac:dyDescent="0.2">
      <c r="A222" s="7">
        <f>Titanic_raw!A222</f>
        <v>1112</v>
      </c>
      <c r="B222" s="16" t="str">
        <f>Titanic_raw!D222</f>
        <v>Duran y More, Miss. Florentina</v>
      </c>
      <c r="C222" s="17" t="s">
        <v>611</v>
      </c>
      <c r="D222" s="18" t="str">
        <f t="shared" si="9"/>
        <v>Florentina</v>
      </c>
      <c r="E222" s="17" t="str">
        <f t="shared" si="10"/>
        <v>Duran y More</v>
      </c>
      <c r="F222" s="17" t="str">
        <f t="shared" si="11"/>
        <v>Miss. Florentina Duran y More</v>
      </c>
      <c r="G222" s="17" t="str">
        <f>PROPER(Titanic_raw!E222)</f>
        <v>Female</v>
      </c>
    </row>
    <row r="223" spans="1:7" x14ac:dyDescent="0.2">
      <c r="A223" s="7">
        <f>Titanic_raw!A223</f>
        <v>1113</v>
      </c>
      <c r="B223" s="20" t="str">
        <f>Titanic_raw!D223</f>
        <v>Reynolds, Mr. Harold J</v>
      </c>
      <c r="C223" s="21" t="s">
        <v>609</v>
      </c>
      <c r="D223" s="22" t="str">
        <f t="shared" si="9"/>
        <v>Harold J</v>
      </c>
      <c r="E223" s="21" t="str">
        <f t="shared" si="10"/>
        <v>Reynolds</v>
      </c>
      <c r="F223" s="21" t="str">
        <f t="shared" si="11"/>
        <v>Mr. Harold J Reynolds</v>
      </c>
      <c r="G223" s="21" t="str">
        <f>PROPER(Titanic_raw!E223)</f>
        <v>Male</v>
      </c>
    </row>
    <row r="224" spans="1:7" x14ac:dyDescent="0.2">
      <c r="A224" s="7">
        <f>Titanic_raw!A224</f>
        <v>1114</v>
      </c>
      <c r="B224" s="16" t="str">
        <f>Titanic_raw!D224</f>
        <v>Cook, Mrs. (Selena Rogers)</v>
      </c>
      <c r="C224" s="17" t="s">
        <v>610</v>
      </c>
      <c r="D224" s="18" t="str">
        <f t="shared" si="9"/>
        <v>(Selena Rogers)</v>
      </c>
      <c r="E224" s="17" t="str">
        <f t="shared" si="10"/>
        <v>Cook</v>
      </c>
      <c r="F224" s="17" t="str">
        <f t="shared" si="11"/>
        <v>Mrs. (Selena Rogers) Cook</v>
      </c>
      <c r="G224" s="17" t="str">
        <f>PROPER(Titanic_raw!E224)</f>
        <v>Female</v>
      </c>
    </row>
    <row r="225" spans="1:7" x14ac:dyDescent="0.2">
      <c r="A225" s="7">
        <f>Titanic_raw!A225</f>
        <v>1115</v>
      </c>
      <c r="B225" s="20" t="str">
        <f>Titanic_raw!D225</f>
        <v>Karlsson, Mr. Einar Gervasius</v>
      </c>
      <c r="C225" s="21" t="s">
        <v>609</v>
      </c>
      <c r="D225" s="22" t="str">
        <f t="shared" si="9"/>
        <v>Einar Gervasius</v>
      </c>
      <c r="E225" s="21" t="str">
        <f t="shared" si="10"/>
        <v>Karlsson</v>
      </c>
      <c r="F225" s="21" t="str">
        <f t="shared" si="11"/>
        <v>Mr. Einar Gervasius Karlsson</v>
      </c>
      <c r="G225" s="21" t="str">
        <f>PROPER(Titanic_raw!E225)</f>
        <v>Male</v>
      </c>
    </row>
    <row r="226" spans="1:7" x14ac:dyDescent="0.2">
      <c r="A226" s="7">
        <f>Titanic_raw!A226</f>
        <v>1116</v>
      </c>
      <c r="B226" s="16" t="str">
        <f>Titanic_raw!D226</f>
        <v>Candee, Mrs. Edward (Helen Churchill Hungerford)</v>
      </c>
      <c r="C226" s="17" t="s">
        <v>610</v>
      </c>
      <c r="D226" s="18" t="str">
        <f t="shared" si="9"/>
        <v>Edward (Helen Churchill Hungerford)</v>
      </c>
      <c r="E226" s="17" t="str">
        <f t="shared" si="10"/>
        <v>Candee</v>
      </c>
      <c r="F226" s="17" t="str">
        <f t="shared" si="11"/>
        <v>Mrs. Edward (Helen Churchill Hungerford) Candee</v>
      </c>
      <c r="G226" s="17" t="str">
        <f>PROPER(Titanic_raw!E226)</f>
        <v>Female</v>
      </c>
    </row>
    <row r="227" spans="1:7" x14ac:dyDescent="0.2">
      <c r="A227" s="7">
        <f>Titanic_raw!A227</f>
        <v>1117</v>
      </c>
      <c r="B227" s="20" t="str">
        <f>Titanic_raw!D227</f>
        <v>Moubarek, Mrs. George (Omine Amenia" Alexander)"</v>
      </c>
      <c r="C227" s="21" t="s">
        <v>610</v>
      </c>
      <c r="D227" s="22" t="str">
        <f t="shared" si="9"/>
        <v>George (Omine Amenia" Alexander)"</v>
      </c>
      <c r="E227" s="21" t="str">
        <f t="shared" si="10"/>
        <v>Moubarek</v>
      </c>
      <c r="F227" s="21" t="str">
        <f t="shared" si="11"/>
        <v>Mrs. George (Omine Amenia" Alexander)" Moubarek</v>
      </c>
      <c r="G227" s="21" t="str">
        <f>PROPER(Titanic_raw!E227)</f>
        <v>Female</v>
      </c>
    </row>
    <row r="228" spans="1:7" x14ac:dyDescent="0.2">
      <c r="A228" s="7">
        <f>Titanic_raw!A228</f>
        <v>1118</v>
      </c>
      <c r="B228" s="16" t="str">
        <f>Titanic_raw!D228</f>
        <v>Asplund, Mr. Johan Charles</v>
      </c>
      <c r="C228" s="17" t="s">
        <v>609</v>
      </c>
      <c r="D228" s="18" t="str">
        <f t="shared" si="9"/>
        <v>Johan Charles</v>
      </c>
      <c r="E228" s="17" t="str">
        <f t="shared" si="10"/>
        <v>Asplund</v>
      </c>
      <c r="F228" s="17" t="str">
        <f t="shared" si="11"/>
        <v>Mr. Johan Charles Asplund</v>
      </c>
      <c r="G228" s="17" t="str">
        <f>PROPER(Titanic_raw!E228)</f>
        <v>Male</v>
      </c>
    </row>
    <row r="229" spans="1:7" x14ac:dyDescent="0.2">
      <c r="A229" s="7">
        <f>Titanic_raw!A229</f>
        <v>1119</v>
      </c>
      <c r="B229" s="20" t="str">
        <f>Titanic_raw!D229</f>
        <v>McNeill, Miss. Bridget</v>
      </c>
      <c r="C229" s="21" t="s">
        <v>611</v>
      </c>
      <c r="D229" s="22" t="str">
        <f t="shared" si="9"/>
        <v>Bridget</v>
      </c>
      <c r="E229" s="21" t="str">
        <f t="shared" si="10"/>
        <v>McNeill</v>
      </c>
      <c r="F229" s="21" t="str">
        <f t="shared" si="11"/>
        <v>Miss. Bridget McNeill</v>
      </c>
      <c r="G229" s="21" t="str">
        <f>PROPER(Titanic_raw!E229)</f>
        <v>Female</v>
      </c>
    </row>
    <row r="230" spans="1:7" x14ac:dyDescent="0.2">
      <c r="A230" s="7">
        <f>Titanic_raw!A230</f>
        <v>1120</v>
      </c>
      <c r="B230" s="16" t="str">
        <f>Titanic_raw!D230</f>
        <v>Everett, Mr. Thomas James</v>
      </c>
      <c r="C230" s="17" t="s">
        <v>609</v>
      </c>
      <c r="D230" s="18" t="str">
        <f t="shared" si="9"/>
        <v>Thomas James</v>
      </c>
      <c r="E230" s="17" t="str">
        <f t="shared" si="10"/>
        <v>Everett</v>
      </c>
      <c r="F230" s="17" t="str">
        <f t="shared" si="11"/>
        <v>Mr. Thomas James Everett</v>
      </c>
      <c r="G230" s="17" t="str">
        <f>PROPER(Titanic_raw!E230)</f>
        <v>Male</v>
      </c>
    </row>
    <row r="231" spans="1:7" x14ac:dyDescent="0.2">
      <c r="A231" s="7">
        <f>Titanic_raw!A231</f>
        <v>1121</v>
      </c>
      <c r="B231" s="20" t="str">
        <f>Titanic_raw!D231</f>
        <v>Hocking, Mr. Samuel James Metcalfe</v>
      </c>
      <c r="C231" s="21" t="s">
        <v>609</v>
      </c>
      <c r="D231" s="22" t="str">
        <f t="shared" si="9"/>
        <v>Samuel James Metcalfe</v>
      </c>
      <c r="E231" s="21" t="str">
        <f t="shared" si="10"/>
        <v>Hocking</v>
      </c>
      <c r="F231" s="21" t="str">
        <f t="shared" si="11"/>
        <v>Mr. Samuel James Metcalfe Hocking</v>
      </c>
      <c r="G231" s="21" t="str">
        <f>PROPER(Titanic_raw!E231)</f>
        <v>Male</v>
      </c>
    </row>
    <row r="232" spans="1:7" x14ac:dyDescent="0.2">
      <c r="A232" s="7">
        <f>Titanic_raw!A232</f>
        <v>1122</v>
      </c>
      <c r="B232" s="16" t="str">
        <f>Titanic_raw!D232</f>
        <v>Sweet, Mr. George Frederick</v>
      </c>
      <c r="C232" s="17" t="s">
        <v>609</v>
      </c>
      <c r="D232" s="18" t="str">
        <f t="shared" si="9"/>
        <v>George Frederick</v>
      </c>
      <c r="E232" s="17" t="str">
        <f t="shared" si="10"/>
        <v>Sweet</v>
      </c>
      <c r="F232" s="17" t="str">
        <f t="shared" si="11"/>
        <v>Mr. George Frederick Sweet</v>
      </c>
      <c r="G232" s="17" t="str">
        <f>PROPER(Titanic_raw!E232)</f>
        <v>Male</v>
      </c>
    </row>
    <row r="233" spans="1:7" x14ac:dyDescent="0.2">
      <c r="A233" s="7">
        <f>Titanic_raw!A233</f>
        <v>1123</v>
      </c>
      <c r="B233" s="20" t="str">
        <f>Titanic_raw!D233</f>
        <v>Willard, Miss. Constance</v>
      </c>
      <c r="C233" s="21" t="s">
        <v>611</v>
      </c>
      <c r="D233" s="22" t="str">
        <f t="shared" si="9"/>
        <v>Constance</v>
      </c>
      <c r="E233" s="21" t="str">
        <f t="shared" si="10"/>
        <v>Willard</v>
      </c>
      <c r="F233" s="21" t="str">
        <f t="shared" si="11"/>
        <v>Miss. Constance Willard</v>
      </c>
      <c r="G233" s="21" t="str">
        <f>PROPER(Titanic_raw!E233)</f>
        <v>Female</v>
      </c>
    </row>
    <row r="234" spans="1:7" x14ac:dyDescent="0.2">
      <c r="A234" s="7">
        <f>Titanic_raw!A234</f>
        <v>1124</v>
      </c>
      <c r="B234" s="16" t="str">
        <f>Titanic_raw!D234</f>
        <v>Wiklund, Mr. Karl Johan</v>
      </c>
      <c r="C234" s="17" t="s">
        <v>609</v>
      </c>
      <c r="D234" s="18" t="str">
        <f t="shared" si="9"/>
        <v>Karl Johan</v>
      </c>
      <c r="E234" s="17" t="str">
        <f t="shared" si="10"/>
        <v>Wiklund</v>
      </c>
      <c r="F234" s="17" t="str">
        <f t="shared" si="11"/>
        <v>Mr. Karl Johan Wiklund</v>
      </c>
      <c r="G234" s="17" t="str">
        <f>PROPER(Titanic_raw!E234)</f>
        <v>Male</v>
      </c>
    </row>
    <row r="235" spans="1:7" x14ac:dyDescent="0.2">
      <c r="A235" s="7">
        <f>Titanic_raw!A235</f>
        <v>1125</v>
      </c>
      <c r="B235" s="20" t="str">
        <f>Titanic_raw!D235</f>
        <v>Linehan, Mr. Michael</v>
      </c>
      <c r="C235" s="21" t="s">
        <v>609</v>
      </c>
      <c r="D235" s="22" t="str">
        <f t="shared" si="9"/>
        <v>Michael</v>
      </c>
      <c r="E235" s="21" t="str">
        <f t="shared" si="10"/>
        <v>Linehan</v>
      </c>
      <c r="F235" s="21" t="str">
        <f t="shared" si="11"/>
        <v>Mr. Michael Linehan</v>
      </c>
      <c r="G235" s="21" t="str">
        <f>PROPER(Titanic_raw!E235)</f>
        <v>Male</v>
      </c>
    </row>
    <row r="236" spans="1:7" x14ac:dyDescent="0.2">
      <c r="A236" s="7">
        <f>Titanic_raw!A236</f>
        <v>1126</v>
      </c>
      <c r="B236" s="16" t="str">
        <f>Titanic_raw!D236</f>
        <v>Cumings, Mr. John Bradley</v>
      </c>
      <c r="C236" s="17" t="s">
        <v>609</v>
      </c>
      <c r="D236" s="18" t="str">
        <f t="shared" si="9"/>
        <v>John Bradley</v>
      </c>
      <c r="E236" s="17" t="str">
        <f t="shared" si="10"/>
        <v>Cumings</v>
      </c>
      <c r="F236" s="17" t="str">
        <f t="shared" si="11"/>
        <v>Mr. John Bradley Cumings</v>
      </c>
      <c r="G236" s="17" t="str">
        <f>PROPER(Titanic_raw!E236)</f>
        <v>Male</v>
      </c>
    </row>
    <row r="237" spans="1:7" x14ac:dyDescent="0.2">
      <c r="A237" s="7">
        <f>Titanic_raw!A237</f>
        <v>1127</v>
      </c>
      <c r="B237" s="20" t="str">
        <f>Titanic_raw!D237</f>
        <v>Vendel, Mr. Olof Edvin</v>
      </c>
      <c r="C237" s="21" t="s">
        <v>609</v>
      </c>
      <c r="D237" s="22" t="str">
        <f t="shared" si="9"/>
        <v>Olof Edvin</v>
      </c>
      <c r="E237" s="21" t="str">
        <f t="shared" si="10"/>
        <v>Vendel</v>
      </c>
      <c r="F237" s="21" t="str">
        <f t="shared" si="11"/>
        <v>Mr. Olof Edvin Vendel</v>
      </c>
      <c r="G237" s="21" t="str">
        <f>PROPER(Titanic_raw!E237)</f>
        <v>Male</v>
      </c>
    </row>
    <row r="238" spans="1:7" x14ac:dyDescent="0.2">
      <c r="A238" s="7">
        <f>Titanic_raw!A238</f>
        <v>1128</v>
      </c>
      <c r="B238" s="16" t="str">
        <f>Titanic_raw!D238</f>
        <v>Warren, Mr. Frank Manley</v>
      </c>
      <c r="C238" s="17" t="s">
        <v>609</v>
      </c>
      <c r="D238" s="18" t="str">
        <f t="shared" si="9"/>
        <v>Frank Manley</v>
      </c>
      <c r="E238" s="17" t="str">
        <f t="shared" si="10"/>
        <v>Warren</v>
      </c>
      <c r="F238" s="17" t="str">
        <f t="shared" si="11"/>
        <v>Mr. Frank Manley Warren</v>
      </c>
      <c r="G238" s="17" t="str">
        <f>PROPER(Titanic_raw!E238)</f>
        <v>Male</v>
      </c>
    </row>
    <row r="239" spans="1:7" x14ac:dyDescent="0.2">
      <c r="A239" s="7">
        <f>Titanic_raw!A239</f>
        <v>1129</v>
      </c>
      <c r="B239" s="20" t="str">
        <f>Titanic_raw!D239</f>
        <v>Baccos, Mr. Raffull</v>
      </c>
      <c r="C239" s="21" t="s">
        <v>609</v>
      </c>
      <c r="D239" s="22" t="str">
        <f t="shared" si="9"/>
        <v>Raffull</v>
      </c>
      <c r="E239" s="21" t="str">
        <f t="shared" si="10"/>
        <v>Baccos</v>
      </c>
      <c r="F239" s="21" t="str">
        <f t="shared" si="11"/>
        <v>Mr. Raffull Baccos</v>
      </c>
      <c r="G239" s="21" t="str">
        <f>PROPER(Titanic_raw!E239)</f>
        <v>Male</v>
      </c>
    </row>
    <row r="240" spans="1:7" x14ac:dyDescent="0.2">
      <c r="A240" s="7">
        <f>Titanic_raw!A240</f>
        <v>1130</v>
      </c>
      <c r="B240" s="16" t="str">
        <f>Titanic_raw!D240</f>
        <v>Hiltunen, Miss. Marta</v>
      </c>
      <c r="C240" s="17" t="s">
        <v>611</v>
      </c>
      <c r="D240" s="18" t="str">
        <f t="shared" si="9"/>
        <v>Marta</v>
      </c>
      <c r="E240" s="17" t="str">
        <f t="shared" si="10"/>
        <v>Hiltunen</v>
      </c>
      <c r="F240" s="17" t="str">
        <f t="shared" si="11"/>
        <v>Miss. Marta Hiltunen</v>
      </c>
      <c r="G240" s="17" t="str">
        <f>PROPER(Titanic_raw!E240)</f>
        <v>Female</v>
      </c>
    </row>
    <row r="241" spans="1:7" x14ac:dyDescent="0.2">
      <c r="A241" s="7">
        <f>Titanic_raw!A241</f>
        <v>1131</v>
      </c>
      <c r="B241" s="20" t="str">
        <f>Titanic_raw!D241</f>
        <v>Douglas, Mrs. Walter Donald (Mahala Dutton)</v>
      </c>
      <c r="C241" s="21" t="s">
        <v>610</v>
      </c>
      <c r="D241" s="22" t="str">
        <f t="shared" si="9"/>
        <v>Walter Donald (Mahala Dutton)</v>
      </c>
      <c r="E241" s="21" t="str">
        <f t="shared" si="10"/>
        <v>Douglas</v>
      </c>
      <c r="F241" s="21" t="str">
        <f t="shared" si="11"/>
        <v>Mrs. Walter Donald (Mahala Dutton) Douglas</v>
      </c>
      <c r="G241" s="21" t="str">
        <f>PROPER(Titanic_raw!E241)</f>
        <v>Female</v>
      </c>
    </row>
    <row r="242" spans="1:7" x14ac:dyDescent="0.2">
      <c r="A242" s="7">
        <f>Titanic_raw!A242</f>
        <v>1132</v>
      </c>
      <c r="B242" s="16" t="str">
        <f>Titanic_raw!D242</f>
        <v>Lindstrom, Mrs. Carl Johan (Sigrid Posse)</v>
      </c>
      <c r="C242" s="17" t="s">
        <v>610</v>
      </c>
      <c r="D242" s="18" t="str">
        <f t="shared" si="9"/>
        <v>Carl Johan (Sigrid Posse)</v>
      </c>
      <c r="E242" s="17" t="str">
        <f t="shared" si="10"/>
        <v>Lindstrom</v>
      </c>
      <c r="F242" s="17" t="str">
        <f t="shared" si="11"/>
        <v>Mrs. Carl Johan (Sigrid Posse) Lindstrom</v>
      </c>
      <c r="G242" s="17" t="str">
        <f>PROPER(Titanic_raw!E242)</f>
        <v>Female</v>
      </c>
    </row>
    <row r="243" spans="1:7" x14ac:dyDescent="0.2">
      <c r="A243" s="7">
        <f>Titanic_raw!A243</f>
        <v>1133</v>
      </c>
      <c r="B243" s="20" t="str">
        <f>Titanic_raw!D243</f>
        <v>Christy, Mrs. (Alice Frances)</v>
      </c>
      <c r="C243" s="21" t="s">
        <v>610</v>
      </c>
      <c r="D243" s="22" t="str">
        <f t="shared" si="9"/>
        <v>(Alice Frances)</v>
      </c>
      <c r="E243" s="21" t="str">
        <f t="shared" si="10"/>
        <v>Christy</v>
      </c>
      <c r="F243" s="21" t="str">
        <f t="shared" si="11"/>
        <v>Mrs. (Alice Frances) Christy</v>
      </c>
      <c r="G243" s="21" t="str">
        <f>PROPER(Titanic_raw!E243)</f>
        <v>Female</v>
      </c>
    </row>
    <row r="244" spans="1:7" x14ac:dyDescent="0.2">
      <c r="A244" s="7">
        <f>Titanic_raw!A244</f>
        <v>1134</v>
      </c>
      <c r="B244" s="16" t="str">
        <f>Titanic_raw!D244</f>
        <v>Spedden, Mr. Frederic Oakley</v>
      </c>
      <c r="C244" s="17" t="s">
        <v>609</v>
      </c>
      <c r="D244" s="18" t="str">
        <f t="shared" si="9"/>
        <v>Frederic Oakley</v>
      </c>
      <c r="E244" s="17" t="str">
        <f t="shared" si="10"/>
        <v>Spedden</v>
      </c>
      <c r="F244" s="17" t="str">
        <f t="shared" si="11"/>
        <v>Mr. Frederic Oakley Spedden</v>
      </c>
      <c r="G244" s="17" t="str">
        <f>PROPER(Titanic_raw!E244)</f>
        <v>Male</v>
      </c>
    </row>
    <row r="245" spans="1:7" x14ac:dyDescent="0.2">
      <c r="A245" s="7">
        <f>Titanic_raw!A245</f>
        <v>1135</v>
      </c>
      <c r="B245" s="20" t="str">
        <f>Titanic_raw!D245</f>
        <v>Hyman, Mr. Abraham</v>
      </c>
      <c r="C245" s="21" t="s">
        <v>609</v>
      </c>
      <c r="D245" s="22" t="str">
        <f t="shared" si="9"/>
        <v>Abraham</v>
      </c>
      <c r="E245" s="21" t="str">
        <f t="shared" si="10"/>
        <v>Hyman</v>
      </c>
      <c r="F245" s="21" t="str">
        <f t="shared" si="11"/>
        <v>Mr. Abraham Hyman</v>
      </c>
      <c r="G245" s="21" t="str">
        <f>PROPER(Titanic_raw!E245)</f>
        <v>Male</v>
      </c>
    </row>
    <row r="246" spans="1:7" x14ac:dyDescent="0.2">
      <c r="A246" s="7">
        <f>Titanic_raw!A246</f>
        <v>1136</v>
      </c>
      <c r="B246" s="16" t="str">
        <f>Titanic_raw!D246</f>
        <v>Johnston, Master. William Arthur Willie""</v>
      </c>
      <c r="C246" s="17" t="s">
        <v>612</v>
      </c>
      <c r="D246" s="18" t="str">
        <f t="shared" si="9"/>
        <v>William Arthur Willie""</v>
      </c>
      <c r="E246" s="17" t="str">
        <f t="shared" si="10"/>
        <v>Johnston</v>
      </c>
      <c r="F246" s="17" t="str">
        <f t="shared" si="11"/>
        <v>Master. William Arthur Willie"" Johnston</v>
      </c>
      <c r="G246" s="17" t="str">
        <f>PROPER(Titanic_raw!E246)</f>
        <v>Male</v>
      </c>
    </row>
    <row r="247" spans="1:7" x14ac:dyDescent="0.2">
      <c r="A247" s="7">
        <f>Titanic_raw!A247</f>
        <v>1137</v>
      </c>
      <c r="B247" s="20" t="str">
        <f>Titanic_raw!D247</f>
        <v>Kenyon, Mr. Frederick R</v>
      </c>
      <c r="C247" s="21" t="s">
        <v>609</v>
      </c>
      <c r="D247" s="22" t="str">
        <f t="shared" si="9"/>
        <v>Frederick R</v>
      </c>
      <c r="E247" s="21" t="str">
        <f t="shared" si="10"/>
        <v>Kenyon</v>
      </c>
      <c r="F247" s="21" t="str">
        <f t="shared" si="11"/>
        <v>Mr. Frederick R Kenyon</v>
      </c>
      <c r="G247" s="21" t="str">
        <f>PROPER(Titanic_raw!E247)</f>
        <v>Male</v>
      </c>
    </row>
    <row r="248" spans="1:7" x14ac:dyDescent="0.2">
      <c r="A248" s="7">
        <f>Titanic_raw!A248</f>
        <v>1138</v>
      </c>
      <c r="B248" s="16" t="str">
        <f>Titanic_raw!D248</f>
        <v>Karnes, Mrs. J Frank (Claire Bennett)</v>
      </c>
      <c r="C248" s="17" t="s">
        <v>610</v>
      </c>
      <c r="D248" s="18" t="str">
        <f t="shared" si="9"/>
        <v>J Frank (Claire Bennett)</v>
      </c>
      <c r="E248" s="17" t="str">
        <f t="shared" si="10"/>
        <v>Karnes</v>
      </c>
      <c r="F248" s="17" t="str">
        <f t="shared" si="11"/>
        <v>Mrs. J Frank (Claire Bennett) Karnes</v>
      </c>
      <c r="G248" s="17" t="str">
        <f>PROPER(Titanic_raw!E248)</f>
        <v>Female</v>
      </c>
    </row>
    <row r="249" spans="1:7" x14ac:dyDescent="0.2">
      <c r="A249" s="7">
        <f>Titanic_raw!A249</f>
        <v>1139</v>
      </c>
      <c r="B249" s="20" t="str">
        <f>Titanic_raw!D249</f>
        <v>Drew, Mr. James Vivian</v>
      </c>
      <c r="C249" s="21" t="s">
        <v>609</v>
      </c>
      <c r="D249" s="22" t="str">
        <f t="shared" si="9"/>
        <v>James Vivian</v>
      </c>
      <c r="E249" s="21" t="str">
        <f t="shared" si="10"/>
        <v>Drew</v>
      </c>
      <c r="F249" s="21" t="str">
        <f t="shared" si="11"/>
        <v>Mr. James Vivian Drew</v>
      </c>
      <c r="G249" s="21" t="str">
        <f>PROPER(Titanic_raw!E249)</f>
        <v>Male</v>
      </c>
    </row>
    <row r="250" spans="1:7" x14ac:dyDescent="0.2">
      <c r="A250" s="7">
        <f>Titanic_raw!A250</f>
        <v>1140</v>
      </c>
      <c r="B250" s="16" t="str">
        <f>Titanic_raw!D250</f>
        <v>Hold, Mrs. Stephen (Annie Margaret Hill)</v>
      </c>
      <c r="C250" s="17" t="s">
        <v>610</v>
      </c>
      <c r="D250" s="18" t="str">
        <f t="shared" si="9"/>
        <v>Stephen (Annie Margaret Hill)</v>
      </c>
      <c r="E250" s="17" t="str">
        <f t="shared" si="10"/>
        <v>Hold</v>
      </c>
      <c r="F250" s="17" t="str">
        <f t="shared" si="11"/>
        <v>Mrs. Stephen (Annie Margaret Hill) Hold</v>
      </c>
      <c r="G250" s="17" t="str">
        <f>PROPER(Titanic_raw!E250)</f>
        <v>Female</v>
      </c>
    </row>
    <row r="251" spans="1:7" x14ac:dyDescent="0.2">
      <c r="A251" s="7">
        <f>Titanic_raw!A251</f>
        <v>1141</v>
      </c>
      <c r="B251" s="20" t="str">
        <f>Titanic_raw!D251</f>
        <v>Khalil, Mrs. Betros (Zahie Maria" Elias)"</v>
      </c>
      <c r="C251" s="21" t="s">
        <v>610</v>
      </c>
      <c r="D251" s="22" t="str">
        <f t="shared" si="9"/>
        <v>Betros (Zahie Maria" Elias)"</v>
      </c>
      <c r="E251" s="21" t="str">
        <f t="shared" si="10"/>
        <v>Khalil</v>
      </c>
      <c r="F251" s="21" t="str">
        <f t="shared" si="11"/>
        <v>Mrs. Betros (Zahie Maria" Elias)" Khalil</v>
      </c>
      <c r="G251" s="21" t="str">
        <f>PROPER(Titanic_raw!E251)</f>
        <v>Female</v>
      </c>
    </row>
    <row r="252" spans="1:7" x14ac:dyDescent="0.2">
      <c r="A252" s="7">
        <f>Titanic_raw!A252</f>
        <v>1142</v>
      </c>
      <c r="B252" s="16" t="str">
        <f>Titanic_raw!D252</f>
        <v>West, Miss. Barbara J</v>
      </c>
      <c r="C252" s="17" t="s">
        <v>611</v>
      </c>
      <c r="D252" s="18" t="str">
        <f t="shared" si="9"/>
        <v>Barbara J</v>
      </c>
      <c r="E252" s="17" t="str">
        <f t="shared" si="10"/>
        <v>West</v>
      </c>
      <c r="F252" s="17" t="str">
        <f t="shared" si="11"/>
        <v>Miss. Barbara J West</v>
      </c>
      <c r="G252" s="17" t="str">
        <f>PROPER(Titanic_raw!E252)</f>
        <v>Female</v>
      </c>
    </row>
    <row r="253" spans="1:7" x14ac:dyDescent="0.2">
      <c r="A253" s="7">
        <f>Titanic_raw!A253</f>
        <v>1143</v>
      </c>
      <c r="B253" s="20" t="str">
        <f>Titanic_raw!D253</f>
        <v>Abrahamsson, Mr. Abraham August Johannes</v>
      </c>
      <c r="C253" s="21" t="s">
        <v>609</v>
      </c>
      <c r="D253" s="22" t="str">
        <f t="shared" si="9"/>
        <v>Abraham August Johannes</v>
      </c>
      <c r="E253" s="21" t="str">
        <f t="shared" si="10"/>
        <v>Abrahamsson</v>
      </c>
      <c r="F253" s="21" t="str">
        <f t="shared" si="11"/>
        <v>Mr. Abraham August Johannes Abrahamsson</v>
      </c>
      <c r="G253" s="21" t="str">
        <f>PROPER(Titanic_raw!E253)</f>
        <v>Male</v>
      </c>
    </row>
    <row r="254" spans="1:7" x14ac:dyDescent="0.2">
      <c r="A254" s="7">
        <f>Titanic_raw!A254</f>
        <v>1144</v>
      </c>
      <c r="B254" s="16" t="str">
        <f>Titanic_raw!D254</f>
        <v>Clark, Mr. Walter Miller</v>
      </c>
      <c r="C254" s="17" t="s">
        <v>609</v>
      </c>
      <c r="D254" s="18" t="str">
        <f t="shared" si="9"/>
        <v>Walter Miller</v>
      </c>
      <c r="E254" s="17" t="str">
        <f t="shared" si="10"/>
        <v>Clark</v>
      </c>
      <c r="F254" s="17" t="str">
        <f t="shared" si="11"/>
        <v>Mr. Walter Miller Clark</v>
      </c>
      <c r="G254" s="17" t="str">
        <f>PROPER(Titanic_raw!E254)</f>
        <v>Male</v>
      </c>
    </row>
    <row r="255" spans="1:7" x14ac:dyDescent="0.2">
      <c r="A255" s="7">
        <f>Titanic_raw!A255</f>
        <v>1145</v>
      </c>
      <c r="B255" s="20" t="str">
        <f>Titanic_raw!D255</f>
        <v>Salander, Mr. Karl Johan</v>
      </c>
      <c r="C255" s="21" t="s">
        <v>609</v>
      </c>
      <c r="D255" s="22" t="str">
        <f t="shared" si="9"/>
        <v>Karl Johan</v>
      </c>
      <c r="E255" s="21" t="str">
        <f t="shared" si="10"/>
        <v>Salander</v>
      </c>
      <c r="F255" s="21" t="str">
        <f t="shared" si="11"/>
        <v>Mr. Karl Johan Salander</v>
      </c>
      <c r="G255" s="21" t="str">
        <f>PROPER(Titanic_raw!E255)</f>
        <v>Male</v>
      </c>
    </row>
    <row r="256" spans="1:7" x14ac:dyDescent="0.2">
      <c r="A256" s="7">
        <f>Titanic_raw!A256</f>
        <v>1146</v>
      </c>
      <c r="B256" s="16" t="str">
        <f>Titanic_raw!D256</f>
        <v>Wenzel, Mr. Linhart</v>
      </c>
      <c r="C256" s="17" t="s">
        <v>609</v>
      </c>
      <c r="D256" s="18" t="str">
        <f t="shared" si="9"/>
        <v>Linhart</v>
      </c>
      <c r="E256" s="17" t="str">
        <f t="shared" si="10"/>
        <v>Wenzel</v>
      </c>
      <c r="F256" s="17" t="str">
        <f t="shared" si="11"/>
        <v>Mr. Linhart Wenzel</v>
      </c>
      <c r="G256" s="17" t="str">
        <f>PROPER(Titanic_raw!E256)</f>
        <v>Male</v>
      </c>
    </row>
    <row r="257" spans="1:7" x14ac:dyDescent="0.2">
      <c r="A257" s="7">
        <f>Titanic_raw!A257</f>
        <v>1147</v>
      </c>
      <c r="B257" s="20" t="str">
        <f>Titanic_raw!D257</f>
        <v>MacKay, Mr. George William</v>
      </c>
      <c r="C257" s="21" t="s">
        <v>609</v>
      </c>
      <c r="D257" s="22" t="str">
        <f t="shared" si="9"/>
        <v>George William</v>
      </c>
      <c r="E257" s="21" t="str">
        <f t="shared" si="10"/>
        <v>MacKay</v>
      </c>
      <c r="F257" s="21" t="str">
        <f t="shared" si="11"/>
        <v>Mr. George William MacKay</v>
      </c>
      <c r="G257" s="21" t="str">
        <f>PROPER(Titanic_raw!E257)</f>
        <v>Male</v>
      </c>
    </row>
    <row r="258" spans="1:7" x14ac:dyDescent="0.2">
      <c r="A258" s="7">
        <f>Titanic_raw!A258</f>
        <v>1148</v>
      </c>
      <c r="B258" s="16" t="str">
        <f>Titanic_raw!D258</f>
        <v>Mahon, Mr. John</v>
      </c>
      <c r="C258" s="17" t="s">
        <v>609</v>
      </c>
      <c r="D258" s="18" t="str">
        <f t="shared" si="9"/>
        <v>John</v>
      </c>
      <c r="E258" s="17" t="str">
        <f t="shared" si="10"/>
        <v>Mahon</v>
      </c>
      <c r="F258" s="17" t="str">
        <f t="shared" si="11"/>
        <v>Mr. John Mahon</v>
      </c>
      <c r="G258" s="17" t="str">
        <f>PROPER(Titanic_raw!E258)</f>
        <v>Male</v>
      </c>
    </row>
    <row r="259" spans="1:7" x14ac:dyDescent="0.2">
      <c r="A259" s="7">
        <f>Titanic_raw!A259</f>
        <v>1149</v>
      </c>
      <c r="B259" s="20" t="str">
        <f>Titanic_raw!D259</f>
        <v>Niklasson, Mr. Samuel</v>
      </c>
      <c r="C259" s="21" t="s">
        <v>609</v>
      </c>
      <c r="D259" s="22" t="str">
        <f t="shared" ref="D259:D322" si="12">RIGHT(B259,LEN(B259)-FIND(".",B259)-1)</f>
        <v>Samuel</v>
      </c>
      <c r="E259" s="21" t="str">
        <f t="shared" ref="E259:E322" si="13">LEFT(B259,FIND(",",B259)-1)</f>
        <v>Niklasson</v>
      </c>
      <c r="F259" s="21" t="str">
        <f t="shared" ref="F259:F322" si="14">CONCATENATE(C259," ",D259," ",E259)</f>
        <v>Mr. Samuel Niklasson</v>
      </c>
      <c r="G259" s="21" t="str">
        <f>PROPER(Titanic_raw!E259)</f>
        <v>Male</v>
      </c>
    </row>
    <row r="260" spans="1:7" x14ac:dyDescent="0.2">
      <c r="A260" s="7">
        <f>Titanic_raw!A260</f>
        <v>1150</v>
      </c>
      <c r="B260" s="16" t="str">
        <f>Titanic_raw!D260</f>
        <v>Bentham, Miss. Lilian W</v>
      </c>
      <c r="C260" s="17" t="s">
        <v>611</v>
      </c>
      <c r="D260" s="18" t="str">
        <f t="shared" si="12"/>
        <v>Lilian W</v>
      </c>
      <c r="E260" s="17" t="str">
        <f t="shared" si="13"/>
        <v>Bentham</v>
      </c>
      <c r="F260" s="17" t="str">
        <f t="shared" si="14"/>
        <v>Miss. Lilian W Bentham</v>
      </c>
      <c r="G260" s="17" t="str">
        <f>PROPER(Titanic_raw!E260)</f>
        <v>Female</v>
      </c>
    </row>
    <row r="261" spans="1:7" x14ac:dyDescent="0.2">
      <c r="A261" s="7">
        <f>Titanic_raw!A261</f>
        <v>1151</v>
      </c>
      <c r="B261" s="20" t="str">
        <f>Titanic_raw!D261</f>
        <v>Midtsjo, Mr. Karl Albert</v>
      </c>
      <c r="C261" s="21" t="s">
        <v>609</v>
      </c>
      <c r="D261" s="22" t="str">
        <f t="shared" si="12"/>
        <v>Karl Albert</v>
      </c>
      <c r="E261" s="21" t="str">
        <f t="shared" si="13"/>
        <v>Midtsjo</v>
      </c>
      <c r="F261" s="21" t="str">
        <f t="shared" si="14"/>
        <v>Mr. Karl Albert Midtsjo</v>
      </c>
      <c r="G261" s="21" t="str">
        <f>PROPER(Titanic_raw!E261)</f>
        <v>Male</v>
      </c>
    </row>
    <row r="262" spans="1:7" x14ac:dyDescent="0.2">
      <c r="A262" s="7">
        <f>Titanic_raw!A262</f>
        <v>1152</v>
      </c>
      <c r="B262" s="16" t="str">
        <f>Titanic_raw!D262</f>
        <v>de Messemaeker, Mr. Guillaume Joseph</v>
      </c>
      <c r="C262" s="17" t="s">
        <v>609</v>
      </c>
      <c r="D262" s="18" t="str">
        <f t="shared" si="12"/>
        <v>Guillaume Joseph</v>
      </c>
      <c r="E262" s="17" t="str">
        <f t="shared" si="13"/>
        <v>de Messemaeker</v>
      </c>
      <c r="F262" s="17" t="str">
        <f t="shared" si="14"/>
        <v>Mr. Guillaume Joseph de Messemaeker</v>
      </c>
      <c r="G262" s="17" t="str">
        <f>PROPER(Titanic_raw!E262)</f>
        <v>Male</v>
      </c>
    </row>
    <row r="263" spans="1:7" x14ac:dyDescent="0.2">
      <c r="A263" s="7">
        <f>Titanic_raw!A263</f>
        <v>1153</v>
      </c>
      <c r="B263" s="20" t="str">
        <f>Titanic_raw!D263</f>
        <v>Nilsson, Mr. August Ferdinand</v>
      </c>
      <c r="C263" s="21" t="s">
        <v>609</v>
      </c>
      <c r="D263" s="22" t="str">
        <f t="shared" si="12"/>
        <v>August Ferdinand</v>
      </c>
      <c r="E263" s="21" t="str">
        <f t="shared" si="13"/>
        <v>Nilsson</v>
      </c>
      <c r="F263" s="21" t="str">
        <f t="shared" si="14"/>
        <v>Mr. August Ferdinand Nilsson</v>
      </c>
      <c r="G263" s="21" t="str">
        <f>PROPER(Titanic_raw!E263)</f>
        <v>Male</v>
      </c>
    </row>
    <row r="264" spans="1:7" x14ac:dyDescent="0.2">
      <c r="A264" s="7">
        <f>Titanic_raw!A264</f>
        <v>1154</v>
      </c>
      <c r="B264" s="16" t="str">
        <f>Titanic_raw!D264</f>
        <v>Wells, Mrs. Arthur Henry (Addie" Dart Trevaskis)"</v>
      </c>
      <c r="C264" s="17" t="s">
        <v>610</v>
      </c>
      <c r="D264" s="18" t="str">
        <f t="shared" si="12"/>
        <v>Arthur Henry (Addie" Dart Trevaskis)"</v>
      </c>
      <c r="E264" s="17" t="str">
        <f t="shared" si="13"/>
        <v>Wells</v>
      </c>
      <c r="F264" s="17" t="str">
        <f t="shared" si="14"/>
        <v>Mrs. Arthur Henry (Addie" Dart Trevaskis)" Wells</v>
      </c>
      <c r="G264" s="17" t="str">
        <f>PROPER(Titanic_raw!E264)</f>
        <v>Female</v>
      </c>
    </row>
    <row r="265" spans="1:7" x14ac:dyDescent="0.2">
      <c r="A265" s="7">
        <f>Titanic_raw!A265</f>
        <v>1155</v>
      </c>
      <c r="B265" s="20" t="str">
        <f>Titanic_raw!D265</f>
        <v>Klasen, Miss. Gertrud Emilia</v>
      </c>
      <c r="C265" s="21" t="s">
        <v>611</v>
      </c>
      <c r="D265" s="22" t="str">
        <f t="shared" si="12"/>
        <v>Gertrud Emilia</v>
      </c>
      <c r="E265" s="21" t="str">
        <f t="shared" si="13"/>
        <v>Klasen</v>
      </c>
      <c r="F265" s="21" t="str">
        <f t="shared" si="14"/>
        <v>Miss. Gertrud Emilia Klasen</v>
      </c>
      <c r="G265" s="21" t="str">
        <f>PROPER(Titanic_raw!E265)</f>
        <v>Female</v>
      </c>
    </row>
    <row r="266" spans="1:7" x14ac:dyDescent="0.2">
      <c r="A266" s="7">
        <f>Titanic_raw!A266</f>
        <v>1156</v>
      </c>
      <c r="B266" s="16" t="str">
        <f>Titanic_raw!D266</f>
        <v>Portaluppi, Mr. Emilio Ilario Giuseppe</v>
      </c>
      <c r="C266" s="17" t="s">
        <v>609</v>
      </c>
      <c r="D266" s="18" t="str">
        <f t="shared" si="12"/>
        <v>Emilio Ilario Giuseppe</v>
      </c>
      <c r="E266" s="17" t="str">
        <f t="shared" si="13"/>
        <v>Portaluppi</v>
      </c>
      <c r="F266" s="17" t="str">
        <f t="shared" si="14"/>
        <v>Mr. Emilio Ilario Giuseppe Portaluppi</v>
      </c>
      <c r="G266" s="17" t="str">
        <f>PROPER(Titanic_raw!E266)</f>
        <v>Male</v>
      </c>
    </row>
    <row r="267" spans="1:7" x14ac:dyDescent="0.2">
      <c r="A267" s="7">
        <f>Titanic_raw!A267</f>
        <v>1157</v>
      </c>
      <c r="B267" s="20" t="str">
        <f>Titanic_raw!D267</f>
        <v>Lyntakoff, Mr. Stanko</v>
      </c>
      <c r="C267" s="21" t="s">
        <v>609</v>
      </c>
      <c r="D267" s="22" t="str">
        <f t="shared" si="12"/>
        <v>Stanko</v>
      </c>
      <c r="E267" s="21" t="str">
        <f t="shared" si="13"/>
        <v>Lyntakoff</v>
      </c>
      <c r="F267" s="21" t="str">
        <f t="shared" si="14"/>
        <v>Mr. Stanko Lyntakoff</v>
      </c>
      <c r="G267" s="21" t="str">
        <f>PROPER(Titanic_raw!E267)</f>
        <v>Male</v>
      </c>
    </row>
    <row r="268" spans="1:7" x14ac:dyDescent="0.2">
      <c r="A268" s="7">
        <f>Titanic_raw!A268</f>
        <v>1158</v>
      </c>
      <c r="B268" s="16" t="str">
        <f>Titanic_raw!D268</f>
        <v>Chisholm, Mr. Roderick Robert Crispin</v>
      </c>
      <c r="C268" s="17" t="s">
        <v>609</v>
      </c>
      <c r="D268" s="18" t="str">
        <f t="shared" si="12"/>
        <v>Roderick Robert Crispin</v>
      </c>
      <c r="E268" s="17" t="str">
        <f t="shared" si="13"/>
        <v>Chisholm</v>
      </c>
      <c r="F268" s="17" t="str">
        <f t="shared" si="14"/>
        <v>Mr. Roderick Robert Crispin Chisholm</v>
      </c>
      <c r="G268" s="17" t="str">
        <f>PROPER(Titanic_raw!E268)</f>
        <v>Male</v>
      </c>
    </row>
    <row r="269" spans="1:7" x14ac:dyDescent="0.2">
      <c r="A269" s="7">
        <f>Titanic_raw!A269</f>
        <v>1159</v>
      </c>
      <c r="B269" s="20" t="str">
        <f>Titanic_raw!D269</f>
        <v>Warren, Mr. Charles William</v>
      </c>
      <c r="C269" s="21" t="s">
        <v>609</v>
      </c>
      <c r="D269" s="22" t="str">
        <f t="shared" si="12"/>
        <v>Charles William</v>
      </c>
      <c r="E269" s="21" t="str">
        <f t="shared" si="13"/>
        <v>Warren</v>
      </c>
      <c r="F269" s="21" t="str">
        <f t="shared" si="14"/>
        <v>Mr. Charles William Warren</v>
      </c>
      <c r="G269" s="21" t="str">
        <f>PROPER(Titanic_raw!E269)</f>
        <v>Male</v>
      </c>
    </row>
    <row r="270" spans="1:7" x14ac:dyDescent="0.2">
      <c r="A270" s="7">
        <f>Titanic_raw!A270</f>
        <v>1160</v>
      </c>
      <c r="B270" s="16" t="str">
        <f>Titanic_raw!D270</f>
        <v>Howard, Miss. May Elizabeth</v>
      </c>
      <c r="C270" s="17" t="s">
        <v>611</v>
      </c>
      <c r="D270" s="18" t="str">
        <f t="shared" si="12"/>
        <v>May Elizabeth</v>
      </c>
      <c r="E270" s="17" t="str">
        <f t="shared" si="13"/>
        <v>Howard</v>
      </c>
      <c r="F270" s="17" t="str">
        <f t="shared" si="14"/>
        <v>Miss. May Elizabeth Howard</v>
      </c>
      <c r="G270" s="17" t="str">
        <f>PROPER(Titanic_raw!E270)</f>
        <v>Female</v>
      </c>
    </row>
    <row r="271" spans="1:7" x14ac:dyDescent="0.2">
      <c r="A271" s="7">
        <f>Titanic_raw!A271</f>
        <v>1161</v>
      </c>
      <c r="B271" s="20" t="str">
        <f>Titanic_raw!D271</f>
        <v>Pokrnic, Mr. Mate</v>
      </c>
      <c r="C271" s="21" t="s">
        <v>609</v>
      </c>
      <c r="D271" s="22" t="str">
        <f t="shared" si="12"/>
        <v>Mate</v>
      </c>
      <c r="E271" s="21" t="str">
        <f t="shared" si="13"/>
        <v>Pokrnic</v>
      </c>
      <c r="F271" s="21" t="str">
        <f t="shared" si="14"/>
        <v>Mr. Mate Pokrnic</v>
      </c>
      <c r="G271" s="21" t="str">
        <f>PROPER(Titanic_raw!E271)</f>
        <v>Male</v>
      </c>
    </row>
    <row r="272" spans="1:7" x14ac:dyDescent="0.2">
      <c r="A272" s="7">
        <f>Titanic_raw!A272</f>
        <v>1162</v>
      </c>
      <c r="B272" s="16" t="str">
        <f>Titanic_raw!D272</f>
        <v>McCaffry, Mr. Thomas Francis</v>
      </c>
      <c r="C272" s="17" t="s">
        <v>609</v>
      </c>
      <c r="D272" s="18" t="str">
        <f t="shared" si="12"/>
        <v>Thomas Francis</v>
      </c>
      <c r="E272" s="17" t="str">
        <f t="shared" si="13"/>
        <v>McCaffry</v>
      </c>
      <c r="F272" s="17" t="str">
        <f t="shared" si="14"/>
        <v>Mr. Thomas Francis McCaffry</v>
      </c>
      <c r="G272" s="17" t="str">
        <f>PROPER(Titanic_raw!E272)</f>
        <v>Male</v>
      </c>
    </row>
    <row r="273" spans="1:7" x14ac:dyDescent="0.2">
      <c r="A273" s="7">
        <f>Titanic_raw!A273</f>
        <v>1163</v>
      </c>
      <c r="B273" s="20" t="str">
        <f>Titanic_raw!D273</f>
        <v>Fox, Mr. Patrick</v>
      </c>
      <c r="C273" s="21" t="s">
        <v>609</v>
      </c>
      <c r="D273" s="22" t="str">
        <f t="shared" si="12"/>
        <v>Patrick</v>
      </c>
      <c r="E273" s="21" t="str">
        <f t="shared" si="13"/>
        <v>Fox</v>
      </c>
      <c r="F273" s="21" t="str">
        <f t="shared" si="14"/>
        <v>Mr. Patrick Fox</v>
      </c>
      <c r="G273" s="21" t="str">
        <f>PROPER(Titanic_raw!E273)</f>
        <v>Male</v>
      </c>
    </row>
    <row r="274" spans="1:7" x14ac:dyDescent="0.2">
      <c r="A274" s="7">
        <f>Titanic_raw!A274</f>
        <v>1164</v>
      </c>
      <c r="B274" s="16" t="str">
        <f>Titanic_raw!D274</f>
        <v>Clark, Mrs. Walter Miller (Virginia McDowell)</v>
      </c>
      <c r="C274" s="17" t="s">
        <v>610</v>
      </c>
      <c r="D274" s="18" t="str">
        <f t="shared" si="12"/>
        <v>Walter Miller (Virginia McDowell)</v>
      </c>
      <c r="E274" s="17" t="str">
        <f t="shared" si="13"/>
        <v>Clark</v>
      </c>
      <c r="F274" s="17" t="str">
        <f t="shared" si="14"/>
        <v>Mrs. Walter Miller (Virginia McDowell) Clark</v>
      </c>
      <c r="G274" s="17" t="str">
        <f>PROPER(Titanic_raw!E274)</f>
        <v>Female</v>
      </c>
    </row>
    <row r="275" spans="1:7" x14ac:dyDescent="0.2">
      <c r="A275" s="7">
        <f>Titanic_raw!A275</f>
        <v>1165</v>
      </c>
      <c r="B275" s="20" t="str">
        <f>Titanic_raw!D275</f>
        <v>Lennon, Miss. Mary</v>
      </c>
      <c r="C275" s="21" t="s">
        <v>611</v>
      </c>
      <c r="D275" s="22" t="str">
        <f t="shared" si="12"/>
        <v>Mary</v>
      </c>
      <c r="E275" s="21" t="str">
        <f t="shared" si="13"/>
        <v>Lennon</v>
      </c>
      <c r="F275" s="21" t="str">
        <f t="shared" si="14"/>
        <v>Miss. Mary Lennon</v>
      </c>
      <c r="G275" s="21" t="str">
        <f>PROPER(Titanic_raw!E275)</f>
        <v>Female</v>
      </c>
    </row>
    <row r="276" spans="1:7" x14ac:dyDescent="0.2">
      <c r="A276" s="7">
        <f>Titanic_raw!A276</f>
        <v>1166</v>
      </c>
      <c r="B276" s="16" t="str">
        <f>Titanic_raw!D276</f>
        <v>Saade, Mr. Jean Nassr</v>
      </c>
      <c r="C276" s="17" t="s">
        <v>609</v>
      </c>
      <c r="D276" s="18" t="str">
        <f t="shared" si="12"/>
        <v>Jean Nassr</v>
      </c>
      <c r="E276" s="17" t="str">
        <f t="shared" si="13"/>
        <v>Saade</v>
      </c>
      <c r="F276" s="17" t="str">
        <f t="shared" si="14"/>
        <v>Mr. Jean Nassr Saade</v>
      </c>
      <c r="G276" s="17" t="str">
        <f>PROPER(Titanic_raw!E276)</f>
        <v>Male</v>
      </c>
    </row>
    <row r="277" spans="1:7" x14ac:dyDescent="0.2">
      <c r="A277" s="7">
        <f>Titanic_raw!A277</f>
        <v>1167</v>
      </c>
      <c r="B277" s="20" t="str">
        <f>Titanic_raw!D277</f>
        <v xml:space="preserve">Bryhl, Miss. Dagmar Jenny Ingeborg </v>
      </c>
      <c r="C277" s="21" t="s">
        <v>611</v>
      </c>
      <c r="D277" s="22" t="str">
        <f t="shared" si="12"/>
        <v xml:space="preserve">Dagmar Jenny Ingeborg </v>
      </c>
      <c r="E277" s="21" t="str">
        <f t="shared" si="13"/>
        <v>Bryhl</v>
      </c>
      <c r="F277" s="21" t="str">
        <f t="shared" si="14"/>
        <v>Miss. Dagmar Jenny Ingeborg  Bryhl</v>
      </c>
      <c r="G277" s="21" t="str">
        <f>PROPER(Titanic_raw!E277)</f>
        <v>Female</v>
      </c>
    </row>
    <row r="278" spans="1:7" x14ac:dyDescent="0.2">
      <c r="A278" s="7">
        <f>Titanic_raw!A278</f>
        <v>1168</v>
      </c>
      <c r="B278" s="16" t="str">
        <f>Titanic_raw!D278</f>
        <v>Parker, Mr. Clifford Richard</v>
      </c>
      <c r="C278" s="17" t="s">
        <v>609</v>
      </c>
      <c r="D278" s="18" t="str">
        <f t="shared" si="12"/>
        <v>Clifford Richard</v>
      </c>
      <c r="E278" s="17" t="str">
        <f t="shared" si="13"/>
        <v>Parker</v>
      </c>
      <c r="F278" s="17" t="str">
        <f t="shared" si="14"/>
        <v>Mr. Clifford Richard Parker</v>
      </c>
      <c r="G278" s="17" t="str">
        <f>PROPER(Titanic_raw!E278)</f>
        <v>Male</v>
      </c>
    </row>
    <row r="279" spans="1:7" x14ac:dyDescent="0.2">
      <c r="A279" s="7">
        <f>Titanic_raw!A279</f>
        <v>1169</v>
      </c>
      <c r="B279" s="20" t="str">
        <f>Titanic_raw!D279</f>
        <v>Faunthorpe, Mr. Harry</v>
      </c>
      <c r="C279" s="21" t="s">
        <v>609</v>
      </c>
      <c r="D279" s="22" t="str">
        <f t="shared" si="12"/>
        <v>Harry</v>
      </c>
      <c r="E279" s="21" t="str">
        <f t="shared" si="13"/>
        <v>Faunthorpe</v>
      </c>
      <c r="F279" s="21" t="str">
        <f t="shared" si="14"/>
        <v>Mr. Harry Faunthorpe</v>
      </c>
      <c r="G279" s="21" t="str">
        <f>PROPER(Titanic_raw!E279)</f>
        <v>Male</v>
      </c>
    </row>
    <row r="280" spans="1:7" x14ac:dyDescent="0.2">
      <c r="A280" s="7">
        <f>Titanic_raw!A280</f>
        <v>1170</v>
      </c>
      <c r="B280" s="16" t="str">
        <f>Titanic_raw!D280</f>
        <v>Ware, Mr. John James</v>
      </c>
      <c r="C280" s="17" t="s">
        <v>609</v>
      </c>
      <c r="D280" s="18" t="str">
        <f t="shared" si="12"/>
        <v>John James</v>
      </c>
      <c r="E280" s="17" t="str">
        <f t="shared" si="13"/>
        <v>Ware</v>
      </c>
      <c r="F280" s="17" t="str">
        <f t="shared" si="14"/>
        <v>Mr. John James Ware</v>
      </c>
      <c r="G280" s="17" t="str">
        <f>PROPER(Titanic_raw!E280)</f>
        <v>Male</v>
      </c>
    </row>
    <row r="281" spans="1:7" x14ac:dyDescent="0.2">
      <c r="A281" s="7">
        <f>Titanic_raw!A281</f>
        <v>1171</v>
      </c>
      <c r="B281" s="20" t="str">
        <f>Titanic_raw!D281</f>
        <v>Oxenham, Mr. Percy Thomas</v>
      </c>
      <c r="C281" s="21" t="s">
        <v>609</v>
      </c>
      <c r="D281" s="22" t="str">
        <f t="shared" si="12"/>
        <v>Percy Thomas</v>
      </c>
      <c r="E281" s="21" t="str">
        <f t="shared" si="13"/>
        <v>Oxenham</v>
      </c>
      <c r="F281" s="21" t="str">
        <f t="shared" si="14"/>
        <v>Mr. Percy Thomas Oxenham</v>
      </c>
      <c r="G281" s="21" t="str">
        <f>PROPER(Titanic_raw!E281)</f>
        <v>Male</v>
      </c>
    </row>
    <row r="282" spans="1:7" x14ac:dyDescent="0.2">
      <c r="A282" s="7">
        <f>Titanic_raw!A282</f>
        <v>1172</v>
      </c>
      <c r="B282" s="16" t="str">
        <f>Titanic_raw!D282</f>
        <v>Oreskovic, Miss. Jelka</v>
      </c>
      <c r="C282" s="17" t="s">
        <v>611</v>
      </c>
      <c r="D282" s="18" t="str">
        <f t="shared" si="12"/>
        <v>Jelka</v>
      </c>
      <c r="E282" s="17" t="str">
        <f t="shared" si="13"/>
        <v>Oreskovic</v>
      </c>
      <c r="F282" s="17" t="str">
        <f t="shared" si="14"/>
        <v>Miss. Jelka Oreskovic</v>
      </c>
      <c r="G282" s="17" t="str">
        <f>PROPER(Titanic_raw!E282)</f>
        <v>Female</v>
      </c>
    </row>
    <row r="283" spans="1:7" x14ac:dyDescent="0.2">
      <c r="A283" s="7">
        <f>Titanic_raw!A283</f>
        <v>1173</v>
      </c>
      <c r="B283" s="20" t="str">
        <f>Titanic_raw!D283</f>
        <v>Peacock, Master. Alfred Edward</v>
      </c>
      <c r="C283" s="21" t="s">
        <v>612</v>
      </c>
      <c r="D283" s="22" t="str">
        <f t="shared" si="12"/>
        <v>Alfred Edward</v>
      </c>
      <c r="E283" s="21" t="str">
        <f t="shared" si="13"/>
        <v>Peacock</v>
      </c>
      <c r="F283" s="21" t="str">
        <f t="shared" si="14"/>
        <v>Master. Alfred Edward Peacock</v>
      </c>
      <c r="G283" s="21" t="str">
        <f>PROPER(Titanic_raw!E283)</f>
        <v>Male</v>
      </c>
    </row>
    <row r="284" spans="1:7" x14ac:dyDescent="0.2">
      <c r="A284" s="7">
        <f>Titanic_raw!A284</f>
        <v>1174</v>
      </c>
      <c r="B284" s="16" t="str">
        <f>Titanic_raw!D284</f>
        <v>Fleming, Miss. Honora</v>
      </c>
      <c r="C284" s="17" t="s">
        <v>611</v>
      </c>
      <c r="D284" s="18" t="str">
        <f t="shared" si="12"/>
        <v>Honora</v>
      </c>
      <c r="E284" s="17" t="str">
        <f t="shared" si="13"/>
        <v>Fleming</v>
      </c>
      <c r="F284" s="17" t="str">
        <f t="shared" si="14"/>
        <v>Miss. Honora Fleming</v>
      </c>
      <c r="G284" s="17" t="str">
        <f>PROPER(Titanic_raw!E284)</f>
        <v>Female</v>
      </c>
    </row>
    <row r="285" spans="1:7" x14ac:dyDescent="0.2">
      <c r="A285" s="7">
        <f>Titanic_raw!A285</f>
        <v>1175</v>
      </c>
      <c r="B285" s="20" t="str">
        <f>Titanic_raw!D285</f>
        <v>Touma, Miss. Maria Youssef</v>
      </c>
      <c r="C285" s="21" t="s">
        <v>611</v>
      </c>
      <c r="D285" s="22" t="str">
        <f t="shared" si="12"/>
        <v>Maria Youssef</v>
      </c>
      <c r="E285" s="21" t="str">
        <f t="shared" si="13"/>
        <v>Touma</v>
      </c>
      <c r="F285" s="21" t="str">
        <f t="shared" si="14"/>
        <v>Miss. Maria Youssef Touma</v>
      </c>
      <c r="G285" s="21" t="str">
        <f>PROPER(Titanic_raw!E285)</f>
        <v>Female</v>
      </c>
    </row>
    <row r="286" spans="1:7" x14ac:dyDescent="0.2">
      <c r="A286" s="7">
        <f>Titanic_raw!A286</f>
        <v>1176</v>
      </c>
      <c r="B286" s="16" t="str">
        <f>Titanic_raw!D286</f>
        <v>Rosblom, Miss. Salli Helena</v>
      </c>
      <c r="C286" s="17" t="s">
        <v>611</v>
      </c>
      <c r="D286" s="18" t="str">
        <f t="shared" si="12"/>
        <v>Salli Helena</v>
      </c>
      <c r="E286" s="17" t="str">
        <f t="shared" si="13"/>
        <v>Rosblom</v>
      </c>
      <c r="F286" s="17" t="str">
        <f t="shared" si="14"/>
        <v>Miss. Salli Helena Rosblom</v>
      </c>
      <c r="G286" s="17" t="str">
        <f>PROPER(Titanic_raw!E286)</f>
        <v>Female</v>
      </c>
    </row>
    <row r="287" spans="1:7" x14ac:dyDescent="0.2">
      <c r="A287" s="7">
        <f>Titanic_raw!A287</f>
        <v>1177</v>
      </c>
      <c r="B287" s="20" t="str">
        <f>Titanic_raw!D287</f>
        <v>Dennis, Mr. William</v>
      </c>
      <c r="C287" s="21" t="s">
        <v>609</v>
      </c>
      <c r="D287" s="22" t="str">
        <f t="shared" si="12"/>
        <v>William</v>
      </c>
      <c r="E287" s="21" t="str">
        <f t="shared" si="13"/>
        <v>Dennis</v>
      </c>
      <c r="F287" s="21" t="str">
        <f t="shared" si="14"/>
        <v>Mr. William Dennis</v>
      </c>
      <c r="G287" s="21" t="str">
        <f>PROPER(Titanic_raw!E287)</f>
        <v>Male</v>
      </c>
    </row>
    <row r="288" spans="1:7" x14ac:dyDescent="0.2">
      <c r="A288" s="7">
        <f>Titanic_raw!A288</f>
        <v>1178</v>
      </c>
      <c r="B288" s="16" t="str">
        <f>Titanic_raw!D288</f>
        <v>Franklin, Mr. Charles (Charles Fardon)</v>
      </c>
      <c r="C288" s="17" t="s">
        <v>609</v>
      </c>
      <c r="D288" s="18" t="str">
        <f t="shared" si="12"/>
        <v>Charles (Charles Fardon)</v>
      </c>
      <c r="E288" s="17" t="str">
        <f t="shared" si="13"/>
        <v>Franklin</v>
      </c>
      <c r="F288" s="17" t="str">
        <f t="shared" si="14"/>
        <v>Mr. Charles (Charles Fardon) Franklin</v>
      </c>
      <c r="G288" s="17" t="str">
        <f>PROPER(Titanic_raw!E288)</f>
        <v>Male</v>
      </c>
    </row>
    <row r="289" spans="1:7" x14ac:dyDescent="0.2">
      <c r="A289" s="7">
        <f>Titanic_raw!A289</f>
        <v>1179</v>
      </c>
      <c r="B289" s="20" t="str">
        <f>Titanic_raw!D289</f>
        <v>Snyder, Mr. John Pillsbury</v>
      </c>
      <c r="C289" s="21" t="s">
        <v>609</v>
      </c>
      <c r="D289" s="22" t="str">
        <f t="shared" si="12"/>
        <v>John Pillsbury</v>
      </c>
      <c r="E289" s="21" t="str">
        <f t="shared" si="13"/>
        <v>Snyder</v>
      </c>
      <c r="F289" s="21" t="str">
        <f t="shared" si="14"/>
        <v>Mr. John Pillsbury Snyder</v>
      </c>
      <c r="G289" s="21" t="str">
        <f>PROPER(Titanic_raw!E289)</f>
        <v>Male</v>
      </c>
    </row>
    <row r="290" spans="1:7" x14ac:dyDescent="0.2">
      <c r="A290" s="7">
        <f>Titanic_raw!A290</f>
        <v>1180</v>
      </c>
      <c r="B290" s="16" t="str">
        <f>Titanic_raw!D290</f>
        <v>Mardirosian, Mr. Sarkis</v>
      </c>
      <c r="C290" s="17" t="s">
        <v>609</v>
      </c>
      <c r="D290" s="18" t="str">
        <f t="shared" si="12"/>
        <v>Sarkis</v>
      </c>
      <c r="E290" s="17" t="str">
        <f t="shared" si="13"/>
        <v>Mardirosian</v>
      </c>
      <c r="F290" s="17" t="str">
        <f t="shared" si="14"/>
        <v>Mr. Sarkis Mardirosian</v>
      </c>
      <c r="G290" s="17" t="str">
        <f>PROPER(Titanic_raw!E290)</f>
        <v>Male</v>
      </c>
    </row>
    <row r="291" spans="1:7" x14ac:dyDescent="0.2">
      <c r="A291" s="7">
        <f>Titanic_raw!A291</f>
        <v>1181</v>
      </c>
      <c r="B291" s="20" t="str">
        <f>Titanic_raw!D291</f>
        <v>Ford, Mr. Arthur</v>
      </c>
      <c r="C291" s="21" t="s">
        <v>609</v>
      </c>
      <c r="D291" s="22" t="str">
        <f t="shared" si="12"/>
        <v>Arthur</v>
      </c>
      <c r="E291" s="21" t="str">
        <f t="shared" si="13"/>
        <v>Ford</v>
      </c>
      <c r="F291" s="21" t="str">
        <f t="shared" si="14"/>
        <v>Mr. Arthur Ford</v>
      </c>
      <c r="G291" s="21" t="str">
        <f>PROPER(Titanic_raw!E291)</f>
        <v>Male</v>
      </c>
    </row>
    <row r="292" spans="1:7" x14ac:dyDescent="0.2">
      <c r="A292" s="7">
        <f>Titanic_raw!A292</f>
        <v>1182</v>
      </c>
      <c r="B292" s="16" t="str">
        <f>Titanic_raw!D292</f>
        <v>Rheims, Mr. George Alexander Lucien</v>
      </c>
      <c r="C292" s="17" t="s">
        <v>609</v>
      </c>
      <c r="D292" s="18" t="str">
        <f t="shared" si="12"/>
        <v>George Alexander Lucien</v>
      </c>
      <c r="E292" s="17" t="str">
        <f t="shared" si="13"/>
        <v>Rheims</v>
      </c>
      <c r="F292" s="17" t="str">
        <f t="shared" si="14"/>
        <v>Mr. George Alexander Lucien Rheims</v>
      </c>
      <c r="G292" s="17" t="str">
        <f>PROPER(Titanic_raw!E292)</f>
        <v>Male</v>
      </c>
    </row>
    <row r="293" spans="1:7" x14ac:dyDescent="0.2">
      <c r="A293" s="7">
        <f>Titanic_raw!A293</f>
        <v>1183</v>
      </c>
      <c r="B293" s="20" t="str">
        <f>Titanic_raw!D293</f>
        <v>Daly, Miss. Margaret Marcella Maggie""</v>
      </c>
      <c r="C293" s="21" t="s">
        <v>611</v>
      </c>
      <c r="D293" s="22" t="str">
        <f t="shared" si="12"/>
        <v>Margaret Marcella Maggie""</v>
      </c>
      <c r="E293" s="21" t="str">
        <f t="shared" si="13"/>
        <v>Daly</v>
      </c>
      <c r="F293" s="21" t="str">
        <f t="shared" si="14"/>
        <v>Miss. Margaret Marcella Maggie"" Daly</v>
      </c>
      <c r="G293" s="21" t="str">
        <f>PROPER(Titanic_raw!E293)</f>
        <v>Female</v>
      </c>
    </row>
    <row r="294" spans="1:7" x14ac:dyDescent="0.2">
      <c r="A294" s="7">
        <f>Titanic_raw!A294</f>
        <v>1184</v>
      </c>
      <c r="B294" s="16" t="str">
        <f>Titanic_raw!D294</f>
        <v>Nasr, Mr. Mustafa</v>
      </c>
      <c r="C294" s="17" t="s">
        <v>609</v>
      </c>
      <c r="D294" s="18" t="str">
        <f t="shared" si="12"/>
        <v>Mustafa</v>
      </c>
      <c r="E294" s="17" t="str">
        <f t="shared" si="13"/>
        <v>Nasr</v>
      </c>
      <c r="F294" s="17" t="str">
        <f t="shared" si="14"/>
        <v>Mr. Mustafa Nasr</v>
      </c>
      <c r="G294" s="17" t="str">
        <f>PROPER(Titanic_raw!E294)</f>
        <v>Male</v>
      </c>
    </row>
    <row r="295" spans="1:7" x14ac:dyDescent="0.2">
      <c r="A295" s="7">
        <f>Titanic_raw!A295</f>
        <v>1185</v>
      </c>
      <c r="B295" s="20" t="str">
        <f>Titanic_raw!D295</f>
        <v>Dodge, Dr. Washington</v>
      </c>
      <c r="C295" s="21" t="s">
        <v>616</v>
      </c>
      <c r="D295" s="22" t="str">
        <f t="shared" si="12"/>
        <v>Washington</v>
      </c>
      <c r="E295" s="21" t="str">
        <f t="shared" si="13"/>
        <v>Dodge</v>
      </c>
      <c r="F295" s="21" t="str">
        <f t="shared" si="14"/>
        <v>Dr. Washington Dodge</v>
      </c>
      <c r="G295" s="21" t="str">
        <f>PROPER(Titanic_raw!E295)</f>
        <v>Male</v>
      </c>
    </row>
    <row r="296" spans="1:7" x14ac:dyDescent="0.2">
      <c r="A296" s="7">
        <f>Titanic_raw!A296</f>
        <v>1186</v>
      </c>
      <c r="B296" s="16" t="str">
        <f>Titanic_raw!D296</f>
        <v>Wittevrongel, Mr. Camille</v>
      </c>
      <c r="C296" s="17" t="s">
        <v>609</v>
      </c>
      <c r="D296" s="18" t="str">
        <f t="shared" si="12"/>
        <v>Camille</v>
      </c>
      <c r="E296" s="17" t="str">
        <f t="shared" si="13"/>
        <v>Wittevrongel</v>
      </c>
      <c r="F296" s="17" t="str">
        <f t="shared" si="14"/>
        <v>Mr. Camille Wittevrongel</v>
      </c>
      <c r="G296" s="17" t="str">
        <f>PROPER(Titanic_raw!E296)</f>
        <v>Male</v>
      </c>
    </row>
    <row r="297" spans="1:7" x14ac:dyDescent="0.2">
      <c r="A297" s="7">
        <f>Titanic_raw!A297</f>
        <v>1187</v>
      </c>
      <c r="B297" s="20" t="str">
        <f>Titanic_raw!D297</f>
        <v>Angheloff, Mr. Minko</v>
      </c>
      <c r="C297" s="21" t="s">
        <v>609</v>
      </c>
      <c r="D297" s="22" t="str">
        <f t="shared" si="12"/>
        <v>Minko</v>
      </c>
      <c r="E297" s="21" t="str">
        <f t="shared" si="13"/>
        <v>Angheloff</v>
      </c>
      <c r="F297" s="21" t="str">
        <f t="shared" si="14"/>
        <v>Mr. Minko Angheloff</v>
      </c>
      <c r="G297" s="21" t="str">
        <f>PROPER(Titanic_raw!E297)</f>
        <v>Male</v>
      </c>
    </row>
    <row r="298" spans="1:7" x14ac:dyDescent="0.2">
      <c r="A298" s="7">
        <f>Titanic_raw!A298</f>
        <v>1188</v>
      </c>
      <c r="B298" s="16" t="str">
        <f>Titanic_raw!D298</f>
        <v>Laroche, Miss. Louise</v>
      </c>
      <c r="C298" s="17" t="s">
        <v>611</v>
      </c>
      <c r="D298" s="18" t="str">
        <f t="shared" si="12"/>
        <v>Louise</v>
      </c>
      <c r="E298" s="17" t="str">
        <f t="shared" si="13"/>
        <v>Laroche</v>
      </c>
      <c r="F298" s="17" t="str">
        <f t="shared" si="14"/>
        <v>Miss. Louise Laroche</v>
      </c>
      <c r="G298" s="17" t="str">
        <f>PROPER(Titanic_raw!E298)</f>
        <v>Female</v>
      </c>
    </row>
    <row r="299" spans="1:7" x14ac:dyDescent="0.2">
      <c r="A299" s="7">
        <f>Titanic_raw!A299</f>
        <v>1189</v>
      </c>
      <c r="B299" s="20" t="str">
        <f>Titanic_raw!D299</f>
        <v>Samaan, Mr. Hanna</v>
      </c>
      <c r="C299" s="21" t="s">
        <v>609</v>
      </c>
      <c r="D299" s="22" t="str">
        <f t="shared" si="12"/>
        <v>Hanna</v>
      </c>
      <c r="E299" s="21" t="str">
        <f t="shared" si="13"/>
        <v>Samaan</v>
      </c>
      <c r="F299" s="21" t="str">
        <f t="shared" si="14"/>
        <v>Mr. Hanna Samaan</v>
      </c>
      <c r="G299" s="21" t="str">
        <f>PROPER(Titanic_raw!E299)</f>
        <v>Male</v>
      </c>
    </row>
    <row r="300" spans="1:7" x14ac:dyDescent="0.2">
      <c r="A300" s="7">
        <f>Titanic_raw!A300</f>
        <v>1190</v>
      </c>
      <c r="B300" s="16" t="str">
        <f>Titanic_raw!D300</f>
        <v>Loring, Mr. Joseph Holland</v>
      </c>
      <c r="C300" s="17" t="s">
        <v>609</v>
      </c>
      <c r="D300" s="18" t="str">
        <f t="shared" si="12"/>
        <v>Joseph Holland</v>
      </c>
      <c r="E300" s="17" t="str">
        <f t="shared" si="13"/>
        <v>Loring</v>
      </c>
      <c r="F300" s="17" t="str">
        <f t="shared" si="14"/>
        <v>Mr. Joseph Holland Loring</v>
      </c>
      <c r="G300" s="17" t="str">
        <f>PROPER(Titanic_raw!E300)</f>
        <v>Male</v>
      </c>
    </row>
    <row r="301" spans="1:7" x14ac:dyDescent="0.2">
      <c r="A301" s="7">
        <f>Titanic_raw!A301</f>
        <v>1191</v>
      </c>
      <c r="B301" s="20" t="str">
        <f>Titanic_raw!D301</f>
        <v>Johansson, Mr. Nils</v>
      </c>
      <c r="C301" s="21" t="s">
        <v>609</v>
      </c>
      <c r="D301" s="22" t="str">
        <f t="shared" si="12"/>
        <v>Nils</v>
      </c>
      <c r="E301" s="21" t="str">
        <f t="shared" si="13"/>
        <v>Johansson</v>
      </c>
      <c r="F301" s="21" t="str">
        <f t="shared" si="14"/>
        <v>Mr. Nils Johansson</v>
      </c>
      <c r="G301" s="21" t="str">
        <f>PROPER(Titanic_raw!E301)</f>
        <v>Male</v>
      </c>
    </row>
    <row r="302" spans="1:7" x14ac:dyDescent="0.2">
      <c r="A302" s="7">
        <f>Titanic_raw!A302</f>
        <v>1192</v>
      </c>
      <c r="B302" s="16" t="str">
        <f>Titanic_raw!D302</f>
        <v>Olsson, Mr. Oscar Wilhelm</v>
      </c>
      <c r="C302" s="17" t="s">
        <v>609</v>
      </c>
      <c r="D302" s="18" t="str">
        <f t="shared" si="12"/>
        <v>Oscar Wilhelm</v>
      </c>
      <c r="E302" s="17" t="str">
        <f t="shared" si="13"/>
        <v>Olsson</v>
      </c>
      <c r="F302" s="17" t="str">
        <f t="shared" si="14"/>
        <v>Mr. Oscar Wilhelm Olsson</v>
      </c>
      <c r="G302" s="17" t="str">
        <f>PROPER(Titanic_raw!E302)</f>
        <v>Male</v>
      </c>
    </row>
    <row r="303" spans="1:7" x14ac:dyDescent="0.2">
      <c r="A303" s="7">
        <f>Titanic_raw!A303</f>
        <v>1193</v>
      </c>
      <c r="B303" s="20" t="str">
        <f>Titanic_raw!D303</f>
        <v>Malachard, Mr. Noel</v>
      </c>
      <c r="C303" s="21" t="s">
        <v>609</v>
      </c>
      <c r="D303" s="22" t="str">
        <f t="shared" si="12"/>
        <v>Noel</v>
      </c>
      <c r="E303" s="21" t="str">
        <f t="shared" si="13"/>
        <v>Malachard</v>
      </c>
      <c r="F303" s="21" t="str">
        <f t="shared" si="14"/>
        <v>Mr. Noel Malachard</v>
      </c>
      <c r="G303" s="21" t="str">
        <f>PROPER(Titanic_raw!E303)</f>
        <v>Male</v>
      </c>
    </row>
    <row r="304" spans="1:7" x14ac:dyDescent="0.2">
      <c r="A304" s="7">
        <f>Titanic_raw!A304</f>
        <v>1194</v>
      </c>
      <c r="B304" s="16" t="str">
        <f>Titanic_raw!D304</f>
        <v>Phillips, Mr. Escott Robert</v>
      </c>
      <c r="C304" s="17" t="s">
        <v>609</v>
      </c>
      <c r="D304" s="18" t="str">
        <f t="shared" si="12"/>
        <v>Escott Robert</v>
      </c>
      <c r="E304" s="17" t="str">
        <f t="shared" si="13"/>
        <v>Phillips</v>
      </c>
      <c r="F304" s="17" t="str">
        <f t="shared" si="14"/>
        <v>Mr. Escott Robert Phillips</v>
      </c>
      <c r="G304" s="17" t="str">
        <f>PROPER(Titanic_raw!E304)</f>
        <v>Male</v>
      </c>
    </row>
    <row r="305" spans="1:7" x14ac:dyDescent="0.2">
      <c r="A305" s="7">
        <f>Titanic_raw!A305</f>
        <v>1195</v>
      </c>
      <c r="B305" s="20" t="str">
        <f>Titanic_raw!D305</f>
        <v>Pokrnic, Mr. Tome</v>
      </c>
      <c r="C305" s="21" t="s">
        <v>609</v>
      </c>
      <c r="D305" s="22" t="str">
        <f t="shared" si="12"/>
        <v>Tome</v>
      </c>
      <c r="E305" s="21" t="str">
        <f t="shared" si="13"/>
        <v>Pokrnic</v>
      </c>
      <c r="F305" s="21" t="str">
        <f t="shared" si="14"/>
        <v>Mr. Tome Pokrnic</v>
      </c>
      <c r="G305" s="21" t="str">
        <f>PROPER(Titanic_raw!E305)</f>
        <v>Male</v>
      </c>
    </row>
    <row r="306" spans="1:7" x14ac:dyDescent="0.2">
      <c r="A306" s="7">
        <f>Titanic_raw!A306</f>
        <v>1196</v>
      </c>
      <c r="B306" s="16" t="str">
        <f>Titanic_raw!D306</f>
        <v>McCarthy, Miss. Catherine Katie""</v>
      </c>
      <c r="C306" s="17" t="s">
        <v>611</v>
      </c>
      <c r="D306" s="18" t="str">
        <f t="shared" si="12"/>
        <v>Catherine Katie""</v>
      </c>
      <c r="E306" s="17" t="str">
        <f t="shared" si="13"/>
        <v>McCarthy</v>
      </c>
      <c r="F306" s="17" t="str">
        <f t="shared" si="14"/>
        <v>Miss. Catherine Katie"" McCarthy</v>
      </c>
      <c r="G306" s="17" t="str">
        <f>PROPER(Titanic_raw!E306)</f>
        <v>Female</v>
      </c>
    </row>
    <row r="307" spans="1:7" x14ac:dyDescent="0.2">
      <c r="A307" s="7">
        <f>Titanic_raw!A307</f>
        <v>1197</v>
      </c>
      <c r="B307" s="20" t="str">
        <f>Titanic_raw!D307</f>
        <v>Crosby, Mrs. Edward Gifford (Catherine Elizabeth Halstead)</v>
      </c>
      <c r="C307" s="21" t="s">
        <v>610</v>
      </c>
      <c r="D307" s="22" t="str">
        <f t="shared" si="12"/>
        <v>Edward Gifford (Catherine Elizabeth Halstead)</v>
      </c>
      <c r="E307" s="21" t="str">
        <f t="shared" si="13"/>
        <v>Crosby</v>
      </c>
      <c r="F307" s="21" t="str">
        <f t="shared" si="14"/>
        <v>Mrs. Edward Gifford (Catherine Elizabeth Halstead) Crosby</v>
      </c>
      <c r="G307" s="21" t="str">
        <f>PROPER(Titanic_raw!E307)</f>
        <v>Female</v>
      </c>
    </row>
    <row r="308" spans="1:7" x14ac:dyDescent="0.2">
      <c r="A308" s="7">
        <f>Titanic_raw!A308</f>
        <v>1198</v>
      </c>
      <c r="B308" s="16" t="str">
        <f>Titanic_raw!D308</f>
        <v>Allison, Mr. Hudson Joshua Creighton</v>
      </c>
      <c r="C308" s="17" t="s">
        <v>609</v>
      </c>
      <c r="D308" s="18" t="str">
        <f t="shared" si="12"/>
        <v>Hudson Joshua Creighton</v>
      </c>
      <c r="E308" s="17" t="str">
        <f t="shared" si="13"/>
        <v>Allison</v>
      </c>
      <c r="F308" s="17" t="str">
        <f t="shared" si="14"/>
        <v>Mr. Hudson Joshua Creighton Allison</v>
      </c>
      <c r="G308" s="17" t="str">
        <f>PROPER(Titanic_raw!E308)</f>
        <v>Male</v>
      </c>
    </row>
    <row r="309" spans="1:7" x14ac:dyDescent="0.2">
      <c r="A309" s="7">
        <f>Titanic_raw!A309</f>
        <v>1199</v>
      </c>
      <c r="B309" s="20" t="str">
        <f>Titanic_raw!D309</f>
        <v>Aks, Master. Philip Frank</v>
      </c>
      <c r="C309" s="21" t="s">
        <v>612</v>
      </c>
      <c r="D309" s="22" t="str">
        <f t="shared" si="12"/>
        <v>Philip Frank</v>
      </c>
      <c r="E309" s="21" t="str">
        <f t="shared" si="13"/>
        <v>Aks</v>
      </c>
      <c r="F309" s="21" t="str">
        <f t="shared" si="14"/>
        <v>Master. Philip Frank Aks</v>
      </c>
      <c r="G309" s="21" t="str">
        <f>PROPER(Titanic_raw!E309)</f>
        <v>Male</v>
      </c>
    </row>
    <row r="310" spans="1:7" x14ac:dyDescent="0.2">
      <c r="A310" s="7">
        <f>Titanic_raw!A310</f>
        <v>1200</v>
      </c>
      <c r="B310" s="16" t="str">
        <f>Titanic_raw!D310</f>
        <v>Hays, Mr. Charles Melville</v>
      </c>
      <c r="C310" s="17" t="s">
        <v>609</v>
      </c>
      <c r="D310" s="18" t="str">
        <f t="shared" si="12"/>
        <v>Charles Melville</v>
      </c>
      <c r="E310" s="17" t="str">
        <f t="shared" si="13"/>
        <v>Hays</v>
      </c>
      <c r="F310" s="17" t="str">
        <f t="shared" si="14"/>
        <v>Mr. Charles Melville Hays</v>
      </c>
      <c r="G310" s="17" t="str">
        <f>PROPER(Titanic_raw!E310)</f>
        <v>Male</v>
      </c>
    </row>
    <row r="311" spans="1:7" x14ac:dyDescent="0.2">
      <c r="A311" s="7">
        <f>Titanic_raw!A311</f>
        <v>1201</v>
      </c>
      <c r="B311" s="20" t="str">
        <f>Titanic_raw!D311</f>
        <v>Hansen, Mrs. Claus Peter (Jennie L Howard)</v>
      </c>
      <c r="C311" s="21" t="s">
        <v>610</v>
      </c>
      <c r="D311" s="22" t="str">
        <f t="shared" si="12"/>
        <v>Claus Peter (Jennie L Howard)</v>
      </c>
      <c r="E311" s="21" t="str">
        <f t="shared" si="13"/>
        <v>Hansen</v>
      </c>
      <c r="F311" s="21" t="str">
        <f t="shared" si="14"/>
        <v>Mrs. Claus Peter (Jennie L Howard) Hansen</v>
      </c>
      <c r="G311" s="21" t="str">
        <f>PROPER(Titanic_raw!E311)</f>
        <v>Female</v>
      </c>
    </row>
    <row r="312" spans="1:7" x14ac:dyDescent="0.2">
      <c r="A312" s="7">
        <f>Titanic_raw!A312</f>
        <v>1202</v>
      </c>
      <c r="B312" s="16" t="str">
        <f>Titanic_raw!D312</f>
        <v>Cacic, Mr. Jego Grga</v>
      </c>
      <c r="C312" s="17" t="s">
        <v>609</v>
      </c>
      <c r="D312" s="18" t="str">
        <f t="shared" si="12"/>
        <v>Jego Grga</v>
      </c>
      <c r="E312" s="17" t="str">
        <f t="shared" si="13"/>
        <v>Cacic</v>
      </c>
      <c r="F312" s="17" t="str">
        <f t="shared" si="14"/>
        <v>Mr. Jego Grga Cacic</v>
      </c>
      <c r="G312" s="17" t="str">
        <f>PROPER(Titanic_raw!E312)</f>
        <v>Male</v>
      </c>
    </row>
    <row r="313" spans="1:7" x14ac:dyDescent="0.2">
      <c r="A313" s="7">
        <f>Titanic_raw!A313</f>
        <v>1203</v>
      </c>
      <c r="B313" s="20" t="str">
        <f>Titanic_raw!D313</f>
        <v>Vartanian, Mr. David</v>
      </c>
      <c r="C313" s="21" t="s">
        <v>609</v>
      </c>
      <c r="D313" s="22" t="str">
        <f t="shared" si="12"/>
        <v>David</v>
      </c>
      <c r="E313" s="21" t="str">
        <f t="shared" si="13"/>
        <v>Vartanian</v>
      </c>
      <c r="F313" s="21" t="str">
        <f t="shared" si="14"/>
        <v>Mr. David Vartanian</v>
      </c>
      <c r="G313" s="21" t="str">
        <f>PROPER(Titanic_raw!E313)</f>
        <v>Male</v>
      </c>
    </row>
    <row r="314" spans="1:7" x14ac:dyDescent="0.2">
      <c r="A314" s="7">
        <f>Titanic_raw!A314</f>
        <v>1204</v>
      </c>
      <c r="B314" s="16" t="str">
        <f>Titanic_raw!D314</f>
        <v>Sadowitz, Mr. Harry</v>
      </c>
      <c r="C314" s="17" t="s">
        <v>609</v>
      </c>
      <c r="D314" s="18" t="str">
        <f t="shared" si="12"/>
        <v>Harry</v>
      </c>
      <c r="E314" s="17" t="str">
        <f t="shared" si="13"/>
        <v>Sadowitz</v>
      </c>
      <c r="F314" s="17" t="str">
        <f t="shared" si="14"/>
        <v>Mr. Harry Sadowitz</v>
      </c>
      <c r="G314" s="17" t="str">
        <f>PROPER(Titanic_raw!E314)</f>
        <v>Male</v>
      </c>
    </row>
    <row r="315" spans="1:7" x14ac:dyDescent="0.2">
      <c r="A315" s="7">
        <f>Titanic_raw!A315</f>
        <v>1205</v>
      </c>
      <c r="B315" s="20" t="str">
        <f>Titanic_raw!D315</f>
        <v>Carr, Miss. Jeannie</v>
      </c>
      <c r="C315" s="21" t="s">
        <v>611</v>
      </c>
      <c r="D315" s="22" t="str">
        <f t="shared" si="12"/>
        <v>Jeannie</v>
      </c>
      <c r="E315" s="21" t="str">
        <f t="shared" si="13"/>
        <v>Carr</v>
      </c>
      <c r="F315" s="21" t="str">
        <f t="shared" si="14"/>
        <v>Miss. Jeannie Carr</v>
      </c>
      <c r="G315" s="21" t="str">
        <f>PROPER(Titanic_raw!E315)</f>
        <v>Female</v>
      </c>
    </row>
    <row r="316" spans="1:7" x14ac:dyDescent="0.2">
      <c r="A316" s="7">
        <f>Titanic_raw!A316</f>
        <v>1206</v>
      </c>
      <c r="B316" s="16" t="str">
        <f>Titanic_raw!D316</f>
        <v>White, Mrs. John Stuart (Ella Holmes)</v>
      </c>
      <c r="C316" s="17" t="s">
        <v>610</v>
      </c>
      <c r="D316" s="18" t="str">
        <f t="shared" si="12"/>
        <v>John Stuart (Ella Holmes)</v>
      </c>
      <c r="E316" s="17" t="str">
        <f t="shared" si="13"/>
        <v>White</v>
      </c>
      <c r="F316" s="17" t="str">
        <f t="shared" si="14"/>
        <v>Mrs. John Stuart (Ella Holmes) White</v>
      </c>
      <c r="G316" s="17" t="str">
        <f>PROPER(Titanic_raw!E316)</f>
        <v>Female</v>
      </c>
    </row>
    <row r="317" spans="1:7" x14ac:dyDescent="0.2">
      <c r="A317" s="7">
        <f>Titanic_raw!A317</f>
        <v>1207</v>
      </c>
      <c r="B317" s="20" t="str">
        <f>Titanic_raw!D317</f>
        <v>Hagardon, Miss. Kate</v>
      </c>
      <c r="C317" s="21" t="s">
        <v>611</v>
      </c>
      <c r="D317" s="22" t="str">
        <f t="shared" si="12"/>
        <v>Kate</v>
      </c>
      <c r="E317" s="21" t="str">
        <f t="shared" si="13"/>
        <v>Hagardon</v>
      </c>
      <c r="F317" s="21" t="str">
        <f t="shared" si="14"/>
        <v>Miss. Kate Hagardon</v>
      </c>
      <c r="G317" s="21" t="str">
        <f>PROPER(Titanic_raw!E317)</f>
        <v>Female</v>
      </c>
    </row>
    <row r="318" spans="1:7" x14ac:dyDescent="0.2">
      <c r="A318" s="7">
        <f>Titanic_raw!A318</f>
        <v>1208</v>
      </c>
      <c r="B318" s="16" t="str">
        <f>Titanic_raw!D318</f>
        <v>Spencer, Mr. William Augustus</v>
      </c>
      <c r="C318" s="17" t="s">
        <v>609</v>
      </c>
      <c r="D318" s="18" t="str">
        <f t="shared" si="12"/>
        <v>William Augustus</v>
      </c>
      <c r="E318" s="17" t="str">
        <f t="shared" si="13"/>
        <v>Spencer</v>
      </c>
      <c r="F318" s="17" t="str">
        <f t="shared" si="14"/>
        <v>Mr. William Augustus Spencer</v>
      </c>
      <c r="G318" s="17" t="str">
        <f>PROPER(Titanic_raw!E318)</f>
        <v>Male</v>
      </c>
    </row>
    <row r="319" spans="1:7" x14ac:dyDescent="0.2">
      <c r="A319" s="7">
        <f>Titanic_raw!A319</f>
        <v>1209</v>
      </c>
      <c r="B319" s="20" t="str">
        <f>Titanic_raw!D319</f>
        <v>Rogers, Mr. Reginald Harry</v>
      </c>
      <c r="C319" s="21" t="s">
        <v>609</v>
      </c>
      <c r="D319" s="22" t="str">
        <f t="shared" si="12"/>
        <v>Reginald Harry</v>
      </c>
      <c r="E319" s="21" t="str">
        <f t="shared" si="13"/>
        <v>Rogers</v>
      </c>
      <c r="F319" s="21" t="str">
        <f t="shared" si="14"/>
        <v>Mr. Reginald Harry Rogers</v>
      </c>
      <c r="G319" s="21" t="str">
        <f>PROPER(Titanic_raw!E319)</f>
        <v>Male</v>
      </c>
    </row>
    <row r="320" spans="1:7" x14ac:dyDescent="0.2">
      <c r="A320" s="7">
        <f>Titanic_raw!A320</f>
        <v>1210</v>
      </c>
      <c r="B320" s="16" t="str">
        <f>Titanic_raw!D320</f>
        <v>Jonsson, Mr. Nils Hilding</v>
      </c>
      <c r="C320" s="17" t="s">
        <v>609</v>
      </c>
      <c r="D320" s="18" t="str">
        <f t="shared" si="12"/>
        <v>Nils Hilding</v>
      </c>
      <c r="E320" s="17" t="str">
        <f t="shared" si="13"/>
        <v>Jonsson</v>
      </c>
      <c r="F320" s="17" t="str">
        <f t="shared" si="14"/>
        <v>Mr. Nils Hilding Jonsson</v>
      </c>
      <c r="G320" s="17" t="str">
        <f>PROPER(Titanic_raw!E320)</f>
        <v>Male</v>
      </c>
    </row>
    <row r="321" spans="1:7" x14ac:dyDescent="0.2">
      <c r="A321" s="7">
        <f>Titanic_raw!A321</f>
        <v>1211</v>
      </c>
      <c r="B321" s="20" t="str">
        <f>Titanic_raw!D321</f>
        <v>Jefferys, Mr. Ernest Wilfred</v>
      </c>
      <c r="C321" s="21" t="s">
        <v>609</v>
      </c>
      <c r="D321" s="22" t="str">
        <f t="shared" si="12"/>
        <v>Ernest Wilfred</v>
      </c>
      <c r="E321" s="21" t="str">
        <f t="shared" si="13"/>
        <v>Jefferys</v>
      </c>
      <c r="F321" s="21" t="str">
        <f t="shared" si="14"/>
        <v>Mr. Ernest Wilfred Jefferys</v>
      </c>
      <c r="G321" s="21" t="str">
        <f>PROPER(Titanic_raw!E321)</f>
        <v>Male</v>
      </c>
    </row>
    <row r="322" spans="1:7" x14ac:dyDescent="0.2">
      <c r="A322" s="7">
        <f>Titanic_raw!A322</f>
        <v>1212</v>
      </c>
      <c r="B322" s="16" t="str">
        <f>Titanic_raw!D322</f>
        <v>Andersson, Mr. Johan Samuel</v>
      </c>
      <c r="C322" s="17" t="s">
        <v>609</v>
      </c>
      <c r="D322" s="18" t="str">
        <f t="shared" si="12"/>
        <v>Johan Samuel</v>
      </c>
      <c r="E322" s="17" t="str">
        <f t="shared" si="13"/>
        <v>Andersson</v>
      </c>
      <c r="F322" s="17" t="str">
        <f t="shared" si="14"/>
        <v>Mr. Johan Samuel Andersson</v>
      </c>
      <c r="G322" s="17" t="str">
        <f>PROPER(Titanic_raw!E322)</f>
        <v>Male</v>
      </c>
    </row>
    <row r="323" spans="1:7" x14ac:dyDescent="0.2">
      <c r="A323" s="7">
        <f>Titanic_raw!A323</f>
        <v>1213</v>
      </c>
      <c r="B323" s="20" t="str">
        <f>Titanic_raw!D323</f>
        <v>Krekorian, Mr. Neshan</v>
      </c>
      <c r="C323" s="21" t="s">
        <v>609</v>
      </c>
      <c r="D323" s="22" t="str">
        <f t="shared" ref="D323:D386" si="15">RIGHT(B323,LEN(B323)-FIND(".",B323)-1)</f>
        <v>Neshan</v>
      </c>
      <c r="E323" s="21" t="str">
        <f t="shared" ref="E323:E386" si="16">LEFT(B323,FIND(",",B323)-1)</f>
        <v>Krekorian</v>
      </c>
      <c r="F323" s="21" t="str">
        <f t="shared" ref="F323:F386" si="17">CONCATENATE(C323," ",D323," ",E323)</f>
        <v>Mr. Neshan Krekorian</v>
      </c>
      <c r="G323" s="21" t="str">
        <f>PROPER(Titanic_raw!E323)</f>
        <v>Male</v>
      </c>
    </row>
    <row r="324" spans="1:7" x14ac:dyDescent="0.2">
      <c r="A324" s="7">
        <f>Titanic_raw!A324</f>
        <v>1214</v>
      </c>
      <c r="B324" s="16" t="str">
        <f>Titanic_raw!D324</f>
        <v>Nesson, Mr. Israel</v>
      </c>
      <c r="C324" s="17" t="s">
        <v>609</v>
      </c>
      <c r="D324" s="18" t="str">
        <f t="shared" si="15"/>
        <v>Israel</v>
      </c>
      <c r="E324" s="17" t="str">
        <f t="shared" si="16"/>
        <v>Nesson</v>
      </c>
      <c r="F324" s="17" t="str">
        <f t="shared" si="17"/>
        <v>Mr. Israel Nesson</v>
      </c>
      <c r="G324" s="17" t="str">
        <f>PROPER(Titanic_raw!E324)</f>
        <v>Male</v>
      </c>
    </row>
    <row r="325" spans="1:7" x14ac:dyDescent="0.2">
      <c r="A325" s="7">
        <f>Titanic_raw!A325</f>
        <v>1215</v>
      </c>
      <c r="B325" s="20" t="str">
        <f>Titanic_raw!D325</f>
        <v>Rowe, Mr. Alfred G</v>
      </c>
      <c r="C325" s="21" t="s">
        <v>609</v>
      </c>
      <c r="D325" s="22" t="str">
        <f t="shared" si="15"/>
        <v>Alfred G</v>
      </c>
      <c r="E325" s="21" t="str">
        <f t="shared" si="16"/>
        <v>Rowe</v>
      </c>
      <c r="F325" s="21" t="str">
        <f t="shared" si="17"/>
        <v>Mr. Alfred G Rowe</v>
      </c>
      <c r="G325" s="21" t="str">
        <f>PROPER(Titanic_raw!E325)</f>
        <v>Male</v>
      </c>
    </row>
    <row r="326" spans="1:7" x14ac:dyDescent="0.2">
      <c r="A326" s="7">
        <f>Titanic_raw!A326</f>
        <v>1216</v>
      </c>
      <c r="B326" s="16" t="str">
        <f>Titanic_raw!D326</f>
        <v>Kreuchen, Miss. Emilie</v>
      </c>
      <c r="C326" s="17" t="s">
        <v>611</v>
      </c>
      <c r="D326" s="18" t="str">
        <f t="shared" si="15"/>
        <v>Emilie</v>
      </c>
      <c r="E326" s="17" t="str">
        <f t="shared" si="16"/>
        <v>Kreuchen</v>
      </c>
      <c r="F326" s="17" t="str">
        <f t="shared" si="17"/>
        <v>Miss. Emilie Kreuchen</v>
      </c>
      <c r="G326" s="17" t="str">
        <f>PROPER(Titanic_raw!E326)</f>
        <v>Female</v>
      </c>
    </row>
    <row r="327" spans="1:7" x14ac:dyDescent="0.2">
      <c r="A327" s="7">
        <f>Titanic_raw!A327</f>
        <v>1217</v>
      </c>
      <c r="B327" s="20" t="str">
        <f>Titanic_raw!D327</f>
        <v>Assam, Mr. Ali</v>
      </c>
      <c r="C327" s="21" t="s">
        <v>609</v>
      </c>
      <c r="D327" s="22" t="str">
        <f t="shared" si="15"/>
        <v>Ali</v>
      </c>
      <c r="E327" s="21" t="str">
        <f t="shared" si="16"/>
        <v>Assam</v>
      </c>
      <c r="F327" s="21" t="str">
        <f t="shared" si="17"/>
        <v>Mr. Ali Assam</v>
      </c>
      <c r="G327" s="21" t="str">
        <f>PROPER(Titanic_raw!E327)</f>
        <v>Male</v>
      </c>
    </row>
    <row r="328" spans="1:7" x14ac:dyDescent="0.2">
      <c r="A328" s="7">
        <f>Titanic_raw!A328</f>
        <v>1218</v>
      </c>
      <c r="B328" s="16" t="str">
        <f>Titanic_raw!D328</f>
        <v>Becker, Miss. Ruth Elizabeth</v>
      </c>
      <c r="C328" s="17" t="s">
        <v>611</v>
      </c>
      <c r="D328" s="18" t="str">
        <f t="shared" si="15"/>
        <v>Ruth Elizabeth</v>
      </c>
      <c r="E328" s="17" t="str">
        <f t="shared" si="16"/>
        <v>Becker</v>
      </c>
      <c r="F328" s="17" t="str">
        <f t="shared" si="17"/>
        <v>Miss. Ruth Elizabeth Becker</v>
      </c>
      <c r="G328" s="17" t="str">
        <f>PROPER(Titanic_raw!E328)</f>
        <v>Female</v>
      </c>
    </row>
    <row r="329" spans="1:7" x14ac:dyDescent="0.2">
      <c r="A329" s="7">
        <f>Titanic_raw!A329</f>
        <v>1219</v>
      </c>
      <c r="B329" s="20" t="str">
        <f>Titanic_raw!D329</f>
        <v>Rosenshine, Mr. George (Mr George Thorne")"</v>
      </c>
      <c r="C329" s="21" t="s">
        <v>609</v>
      </c>
      <c r="D329" s="22" t="str">
        <f t="shared" si="15"/>
        <v>George (Mr George Thorne")"</v>
      </c>
      <c r="E329" s="21" t="str">
        <f t="shared" si="16"/>
        <v>Rosenshine</v>
      </c>
      <c r="F329" s="21" t="str">
        <f t="shared" si="17"/>
        <v>Mr. George (Mr George Thorne")" Rosenshine</v>
      </c>
      <c r="G329" s="21" t="str">
        <f>PROPER(Titanic_raw!E329)</f>
        <v>Male</v>
      </c>
    </row>
    <row r="330" spans="1:7" x14ac:dyDescent="0.2">
      <c r="A330" s="7">
        <f>Titanic_raw!A330</f>
        <v>1220</v>
      </c>
      <c r="B330" s="16" t="str">
        <f>Titanic_raw!D330</f>
        <v>Clarke, Mr. Charles Valentine</v>
      </c>
      <c r="C330" s="17" t="s">
        <v>609</v>
      </c>
      <c r="D330" s="18" t="str">
        <f t="shared" si="15"/>
        <v>Charles Valentine</v>
      </c>
      <c r="E330" s="17" t="str">
        <f t="shared" si="16"/>
        <v>Clarke</v>
      </c>
      <c r="F330" s="17" t="str">
        <f t="shared" si="17"/>
        <v>Mr. Charles Valentine Clarke</v>
      </c>
      <c r="G330" s="17" t="str">
        <f>PROPER(Titanic_raw!E330)</f>
        <v>Male</v>
      </c>
    </row>
    <row r="331" spans="1:7" x14ac:dyDescent="0.2">
      <c r="A331" s="7">
        <f>Titanic_raw!A331</f>
        <v>1221</v>
      </c>
      <c r="B331" s="20" t="str">
        <f>Titanic_raw!D331</f>
        <v>Enander, Mr. Ingvar</v>
      </c>
      <c r="C331" s="21" t="s">
        <v>609</v>
      </c>
      <c r="D331" s="22" t="str">
        <f t="shared" si="15"/>
        <v>Ingvar</v>
      </c>
      <c r="E331" s="21" t="str">
        <f t="shared" si="16"/>
        <v>Enander</v>
      </c>
      <c r="F331" s="21" t="str">
        <f t="shared" si="17"/>
        <v>Mr. Ingvar Enander</v>
      </c>
      <c r="G331" s="21" t="str">
        <f>PROPER(Titanic_raw!E331)</f>
        <v>Male</v>
      </c>
    </row>
    <row r="332" spans="1:7" x14ac:dyDescent="0.2">
      <c r="A332" s="7">
        <f>Titanic_raw!A332</f>
        <v>1222</v>
      </c>
      <c r="B332" s="16" t="str">
        <f>Titanic_raw!D332</f>
        <v xml:space="preserve">Davies, Mrs. John Morgan (Elizabeth Agnes Mary White) </v>
      </c>
      <c r="C332" s="17" t="s">
        <v>610</v>
      </c>
      <c r="D332" s="18" t="str">
        <f t="shared" si="15"/>
        <v xml:space="preserve">John Morgan (Elizabeth Agnes Mary White) </v>
      </c>
      <c r="E332" s="17" t="str">
        <f t="shared" si="16"/>
        <v>Davies</v>
      </c>
      <c r="F332" s="17" t="str">
        <f t="shared" si="17"/>
        <v>Mrs. John Morgan (Elizabeth Agnes Mary White)  Davies</v>
      </c>
      <c r="G332" s="17" t="str">
        <f>PROPER(Titanic_raw!E332)</f>
        <v>Female</v>
      </c>
    </row>
    <row r="333" spans="1:7" x14ac:dyDescent="0.2">
      <c r="A333" s="7">
        <f>Titanic_raw!A333</f>
        <v>1223</v>
      </c>
      <c r="B333" s="20" t="str">
        <f>Titanic_raw!D333</f>
        <v>Dulles, Mr. William Crothers</v>
      </c>
      <c r="C333" s="21" t="s">
        <v>609</v>
      </c>
      <c r="D333" s="22" t="str">
        <f t="shared" si="15"/>
        <v>William Crothers</v>
      </c>
      <c r="E333" s="21" t="str">
        <f t="shared" si="16"/>
        <v>Dulles</v>
      </c>
      <c r="F333" s="21" t="str">
        <f t="shared" si="17"/>
        <v>Mr. William Crothers Dulles</v>
      </c>
      <c r="G333" s="21" t="str">
        <f>PROPER(Titanic_raw!E333)</f>
        <v>Male</v>
      </c>
    </row>
    <row r="334" spans="1:7" x14ac:dyDescent="0.2">
      <c r="A334" s="7">
        <f>Titanic_raw!A334</f>
        <v>1224</v>
      </c>
      <c r="B334" s="16" t="str">
        <f>Titanic_raw!D334</f>
        <v>Thomas, Mr. Tannous</v>
      </c>
      <c r="C334" s="17" t="s">
        <v>609</v>
      </c>
      <c r="D334" s="18" t="str">
        <f t="shared" si="15"/>
        <v>Tannous</v>
      </c>
      <c r="E334" s="17" t="str">
        <f t="shared" si="16"/>
        <v>Thomas</v>
      </c>
      <c r="F334" s="17" t="str">
        <f t="shared" si="17"/>
        <v>Mr. Tannous Thomas</v>
      </c>
      <c r="G334" s="17" t="str">
        <f>PROPER(Titanic_raw!E334)</f>
        <v>Male</v>
      </c>
    </row>
    <row r="335" spans="1:7" x14ac:dyDescent="0.2">
      <c r="A335" s="7">
        <f>Titanic_raw!A335</f>
        <v>1225</v>
      </c>
      <c r="B335" s="20" t="str">
        <f>Titanic_raw!D335</f>
        <v>Nakid, Mrs. Said (Waika Mary" Mowad)"</v>
      </c>
      <c r="C335" s="21" t="s">
        <v>610</v>
      </c>
      <c r="D335" s="22" t="str">
        <f t="shared" si="15"/>
        <v>Said (Waika Mary" Mowad)"</v>
      </c>
      <c r="E335" s="21" t="str">
        <f t="shared" si="16"/>
        <v>Nakid</v>
      </c>
      <c r="F335" s="21" t="str">
        <f t="shared" si="17"/>
        <v>Mrs. Said (Waika Mary" Mowad)" Nakid</v>
      </c>
      <c r="G335" s="21" t="str">
        <f>PROPER(Titanic_raw!E335)</f>
        <v>Female</v>
      </c>
    </row>
    <row r="336" spans="1:7" x14ac:dyDescent="0.2">
      <c r="A336" s="7">
        <f>Titanic_raw!A336</f>
        <v>1226</v>
      </c>
      <c r="B336" s="16" t="str">
        <f>Titanic_raw!D336</f>
        <v>Cor, Mr. Ivan</v>
      </c>
      <c r="C336" s="17" t="s">
        <v>609</v>
      </c>
      <c r="D336" s="18" t="str">
        <f t="shared" si="15"/>
        <v>Ivan</v>
      </c>
      <c r="E336" s="17" t="str">
        <f t="shared" si="16"/>
        <v>Cor</v>
      </c>
      <c r="F336" s="17" t="str">
        <f t="shared" si="17"/>
        <v>Mr. Ivan Cor</v>
      </c>
      <c r="G336" s="17" t="str">
        <f>PROPER(Titanic_raw!E336)</f>
        <v>Male</v>
      </c>
    </row>
    <row r="337" spans="1:7" x14ac:dyDescent="0.2">
      <c r="A337" s="7">
        <f>Titanic_raw!A337</f>
        <v>1227</v>
      </c>
      <c r="B337" s="20" t="str">
        <f>Titanic_raw!D337</f>
        <v>Maguire, Mr. John Edward</v>
      </c>
      <c r="C337" s="21" t="s">
        <v>609</v>
      </c>
      <c r="D337" s="22" t="str">
        <f t="shared" si="15"/>
        <v>John Edward</v>
      </c>
      <c r="E337" s="21" t="str">
        <f t="shared" si="16"/>
        <v>Maguire</v>
      </c>
      <c r="F337" s="21" t="str">
        <f t="shared" si="17"/>
        <v>Mr. John Edward Maguire</v>
      </c>
      <c r="G337" s="21" t="str">
        <f>PROPER(Titanic_raw!E337)</f>
        <v>Male</v>
      </c>
    </row>
    <row r="338" spans="1:7" x14ac:dyDescent="0.2">
      <c r="A338" s="7">
        <f>Titanic_raw!A338</f>
        <v>1228</v>
      </c>
      <c r="B338" s="16" t="str">
        <f>Titanic_raw!D338</f>
        <v>de Brito, Mr. Jose Joaquim</v>
      </c>
      <c r="C338" s="17" t="s">
        <v>609</v>
      </c>
      <c r="D338" s="18" t="str">
        <f t="shared" si="15"/>
        <v>Jose Joaquim</v>
      </c>
      <c r="E338" s="17" t="str">
        <f t="shared" si="16"/>
        <v>de Brito</v>
      </c>
      <c r="F338" s="17" t="str">
        <f t="shared" si="17"/>
        <v>Mr. Jose Joaquim de Brito</v>
      </c>
      <c r="G338" s="17" t="str">
        <f>PROPER(Titanic_raw!E338)</f>
        <v>Male</v>
      </c>
    </row>
    <row r="339" spans="1:7" x14ac:dyDescent="0.2">
      <c r="A339" s="7">
        <f>Titanic_raw!A339</f>
        <v>1229</v>
      </c>
      <c r="B339" s="20" t="str">
        <f>Titanic_raw!D339</f>
        <v>Elias, Mr. Joseph</v>
      </c>
      <c r="C339" s="21" t="s">
        <v>609</v>
      </c>
      <c r="D339" s="22" t="str">
        <f t="shared" si="15"/>
        <v>Joseph</v>
      </c>
      <c r="E339" s="21" t="str">
        <f t="shared" si="16"/>
        <v>Elias</v>
      </c>
      <c r="F339" s="21" t="str">
        <f t="shared" si="17"/>
        <v>Mr. Joseph Elias</v>
      </c>
      <c r="G339" s="21" t="str">
        <f>PROPER(Titanic_raw!E339)</f>
        <v>Male</v>
      </c>
    </row>
    <row r="340" spans="1:7" x14ac:dyDescent="0.2">
      <c r="A340" s="7">
        <f>Titanic_raw!A340</f>
        <v>1230</v>
      </c>
      <c r="B340" s="16" t="str">
        <f>Titanic_raw!D340</f>
        <v>Denbury, Mr. Herbert</v>
      </c>
      <c r="C340" s="17" t="s">
        <v>609</v>
      </c>
      <c r="D340" s="18" t="str">
        <f t="shared" si="15"/>
        <v>Herbert</v>
      </c>
      <c r="E340" s="17" t="str">
        <f t="shared" si="16"/>
        <v>Denbury</v>
      </c>
      <c r="F340" s="17" t="str">
        <f t="shared" si="17"/>
        <v>Mr. Herbert Denbury</v>
      </c>
      <c r="G340" s="17" t="str">
        <f>PROPER(Titanic_raw!E340)</f>
        <v>Male</v>
      </c>
    </row>
    <row r="341" spans="1:7" x14ac:dyDescent="0.2">
      <c r="A341" s="7">
        <f>Titanic_raw!A341</f>
        <v>1231</v>
      </c>
      <c r="B341" s="20" t="str">
        <f>Titanic_raw!D341</f>
        <v>Betros, Master. Seman</v>
      </c>
      <c r="C341" s="21" t="s">
        <v>612</v>
      </c>
      <c r="D341" s="22" t="str">
        <f t="shared" si="15"/>
        <v>Seman</v>
      </c>
      <c r="E341" s="21" t="str">
        <f t="shared" si="16"/>
        <v>Betros</v>
      </c>
      <c r="F341" s="21" t="str">
        <f t="shared" si="17"/>
        <v>Master. Seman Betros</v>
      </c>
      <c r="G341" s="21" t="str">
        <f>PROPER(Titanic_raw!E341)</f>
        <v>Male</v>
      </c>
    </row>
    <row r="342" spans="1:7" x14ac:dyDescent="0.2">
      <c r="A342" s="7">
        <f>Titanic_raw!A342</f>
        <v>1232</v>
      </c>
      <c r="B342" s="16" t="str">
        <f>Titanic_raw!D342</f>
        <v>Fillbrook, Mr. Joseph Charles</v>
      </c>
      <c r="C342" s="17" t="s">
        <v>609</v>
      </c>
      <c r="D342" s="18" t="str">
        <f t="shared" si="15"/>
        <v>Joseph Charles</v>
      </c>
      <c r="E342" s="17" t="str">
        <f t="shared" si="16"/>
        <v>Fillbrook</v>
      </c>
      <c r="F342" s="17" t="str">
        <f t="shared" si="17"/>
        <v>Mr. Joseph Charles Fillbrook</v>
      </c>
      <c r="G342" s="17" t="str">
        <f>PROPER(Titanic_raw!E342)</f>
        <v>Male</v>
      </c>
    </row>
    <row r="343" spans="1:7" x14ac:dyDescent="0.2">
      <c r="A343" s="7">
        <f>Titanic_raw!A343</f>
        <v>1233</v>
      </c>
      <c r="B343" s="20" t="str">
        <f>Titanic_raw!D343</f>
        <v>Lundstrom, Mr. Thure Edvin</v>
      </c>
      <c r="C343" s="21" t="s">
        <v>609</v>
      </c>
      <c r="D343" s="22" t="str">
        <f t="shared" si="15"/>
        <v>Thure Edvin</v>
      </c>
      <c r="E343" s="21" t="str">
        <f t="shared" si="16"/>
        <v>Lundstrom</v>
      </c>
      <c r="F343" s="21" t="str">
        <f t="shared" si="17"/>
        <v>Mr. Thure Edvin Lundstrom</v>
      </c>
      <c r="G343" s="21" t="str">
        <f>PROPER(Titanic_raw!E343)</f>
        <v>Male</v>
      </c>
    </row>
    <row r="344" spans="1:7" x14ac:dyDescent="0.2">
      <c r="A344" s="7">
        <f>Titanic_raw!A344</f>
        <v>1234</v>
      </c>
      <c r="B344" s="16" t="str">
        <f>Titanic_raw!D344</f>
        <v>Sage, Mr. John George</v>
      </c>
      <c r="C344" s="17" t="s">
        <v>609</v>
      </c>
      <c r="D344" s="18" t="str">
        <f t="shared" si="15"/>
        <v>John George</v>
      </c>
      <c r="E344" s="17" t="str">
        <f t="shared" si="16"/>
        <v>Sage</v>
      </c>
      <c r="F344" s="17" t="str">
        <f t="shared" si="17"/>
        <v>Mr. John George Sage</v>
      </c>
      <c r="G344" s="17" t="str">
        <f>PROPER(Titanic_raw!E344)</f>
        <v>Male</v>
      </c>
    </row>
    <row r="345" spans="1:7" x14ac:dyDescent="0.2">
      <c r="A345" s="7">
        <f>Titanic_raw!A345</f>
        <v>1235</v>
      </c>
      <c r="B345" s="20" t="str">
        <f>Titanic_raw!D345</f>
        <v>Cardeza, Mrs. James Warburton Martinez (Charlotte Wardle Drake)</v>
      </c>
      <c r="C345" s="21" t="s">
        <v>610</v>
      </c>
      <c r="D345" s="22" t="str">
        <f t="shared" si="15"/>
        <v>James Warburton Martinez (Charlotte Wardle Drake)</v>
      </c>
      <c r="E345" s="21" t="str">
        <f t="shared" si="16"/>
        <v>Cardeza</v>
      </c>
      <c r="F345" s="21" t="str">
        <f t="shared" si="17"/>
        <v>Mrs. James Warburton Martinez (Charlotte Wardle Drake) Cardeza</v>
      </c>
      <c r="G345" s="21" t="str">
        <f>PROPER(Titanic_raw!E345)</f>
        <v>Female</v>
      </c>
    </row>
    <row r="346" spans="1:7" x14ac:dyDescent="0.2">
      <c r="A346" s="7">
        <f>Titanic_raw!A346</f>
        <v>1236</v>
      </c>
      <c r="B346" s="16" t="str">
        <f>Titanic_raw!D346</f>
        <v>van Billiard, Master. James William</v>
      </c>
      <c r="C346" s="17" t="s">
        <v>612</v>
      </c>
      <c r="D346" s="18" t="str">
        <f t="shared" si="15"/>
        <v>James William</v>
      </c>
      <c r="E346" s="17" t="str">
        <f t="shared" si="16"/>
        <v>van Billiard</v>
      </c>
      <c r="F346" s="17" t="str">
        <f t="shared" si="17"/>
        <v>Master. James William van Billiard</v>
      </c>
      <c r="G346" s="17" t="str">
        <f>PROPER(Titanic_raw!E346)</f>
        <v>Male</v>
      </c>
    </row>
    <row r="347" spans="1:7" x14ac:dyDescent="0.2">
      <c r="A347" s="7">
        <f>Titanic_raw!A347</f>
        <v>1237</v>
      </c>
      <c r="B347" s="20" t="str">
        <f>Titanic_raw!D347</f>
        <v>Abelseth, Miss. Karen Marie</v>
      </c>
      <c r="C347" s="21" t="s">
        <v>611</v>
      </c>
      <c r="D347" s="22" t="str">
        <f t="shared" si="15"/>
        <v>Karen Marie</v>
      </c>
      <c r="E347" s="21" t="str">
        <f t="shared" si="16"/>
        <v>Abelseth</v>
      </c>
      <c r="F347" s="21" t="str">
        <f t="shared" si="17"/>
        <v>Miss. Karen Marie Abelseth</v>
      </c>
      <c r="G347" s="21" t="str">
        <f>PROPER(Titanic_raw!E347)</f>
        <v>Female</v>
      </c>
    </row>
    <row r="348" spans="1:7" x14ac:dyDescent="0.2">
      <c r="A348" s="7">
        <f>Titanic_raw!A348</f>
        <v>1238</v>
      </c>
      <c r="B348" s="16" t="str">
        <f>Titanic_raw!D348</f>
        <v>Botsford, Mr. William Hull</v>
      </c>
      <c r="C348" s="17" t="s">
        <v>609</v>
      </c>
      <c r="D348" s="18" t="str">
        <f t="shared" si="15"/>
        <v>William Hull</v>
      </c>
      <c r="E348" s="17" t="str">
        <f t="shared" si="16"/>
        <v>Botsford</v>
      </c>
      <c r="F348" s="17" t="str">
        <f t="shared" si="17"/>
        <v>Mr. William Hull Botsford</v>
      </c>
      <c r="G348" s="17" t="str">
        <f>PROPER(Titanic_raw!E348)</f>
        <v>Male</v>
      </c>
    </row>
    <row r="349" spans="1:7" x14ac:dyDescent="0.2">
      <c r="A349" s="7">
        <f>Titanic_raw!A349</f>
        <v>1239</v>
      </c>
      <c r="B349" s="20" t="str">
        <f>Titanic_raw!D349</f>
        <v>Whabee, Mrs. George Joseph (Shawneene Abi-Saab)</v>
      </c>
      <c r="C349" s="21" t="s">
        <v>610</v>
      </c>
      <c r="D349" s="22" t="str">
        <f t="shared" si="15"/>
        <v>George Joseph (Shawneene Abi-Saab)</v>
      </c>
      <c r="E349" s="21" t="str">
        <f t="shared" si="16"/>
        <v>Whabee</v>
      </c>
      <c r="F349" s="21" t="str">
        <f t="shared" si="17"/>
        <v>Mrs. George Joseph (Shawneene Abi-Saab) Whabee</v>
      </c>
      <c r="G349" s="21" t="str">
        <f>PROPER(Titanic_raw!E349)</f>
        <v>Female</v>
      </c>
    </row>
    <row r="350" spans="1:7" x14ac:dyDescent="0.2">
      <c r="A350" s="7">
        <f>Titanic_raw!A350</f>
        <v>1240</v>
      </c>
      <c r="B350" s="16" t="str">
        <f>Titanic_raw!D350</f>
        <v>Giles, Mr. Ralph</v>
      </c>
      <c r="C350" s="17" t="s">
        <v>609</v>
      </c>
      <c r="D350" s="18" t="str">
        <f t="shared" si="15"/>
        <v>Ralph</v>
      </c>
      <c r="E350" s="17" t="str">
        <f t="shared" si="16"/>
        <v>Giles</v>
      </c>
      <c r="F350" s="17" t="str">
        <f t="shared" si="17"/>
        <v>Mr. Ralph Giles</v>
      </c>
      <c r="G350" s="17" t="str">
        <f>PROPER(Titanic_raw!E350)</f>
        <v>Male</v>
      </c>
    </row>
    <row r="351" spans="1:7" x14ac:dyDescent="0.2">
      <c r="A351" s="7">
        <f>Titanic_raw!A351</f>
        <v>1241</v>
      </c>
      <c r="B351" s="20" t="str">
        <f>Titanic_raw!D351</f>
        <v>Walcroft, Miss. Nellie</v>
      </c>
      <c r="C351" s="21" t="s">
        <v>611</v>
      </c>
      <c r="D351" s="22" t="str">
        <f t="shared" si="15"/>
        <v>Nellie</v>
      </c>
      <c r="E351" s="21" t="str">
        <f t="shared" si="16"/>
        <v>Walcroft</v>
      </c>
      <c r="F351" s="21" t="str">
        <f t="shared" si="17"/>
        <v>Miss. Nellie Walcroft</v>
      </c>
      <c r="G351" s="21" t="str">
        <f>PROPER(Titanic_raw!E351)</f>
        <v>Female</v>
      </c>
    </row>
    <row r="352" spans="1:7" x14ac:dyDescent="0.2">
      <c r="A352" s="7">
        <f>Titanic_raw!A352</f>
        <v>1242</v>
      </c>
      <c r="B352" s="16" t="str">
        <f>Titanic_raw!D352</f>
        <v>Greenfield, Mrs. Leo David (Blanche Strouse)</v>
      </c>
      <c r="C352" s="17" t="s">
        <v>610</v>
      </c>
      <c r="D352" s="18" t="str">
        <f t="shared" si="15"/>
        <v>Leo David (Blanche Strouse)</v>
      </c>
      <c r="E352" s="17" t="str">
        <f t="shared" si="16"/>
        <v>Greenfield</v>
      </c>
      <c r="F352" s="17" t="str">
        <f t="shared" si="17"/>
        <v>Mrs. Leo David (Blanche Strouse) Greenfield</v>
      </c>
      <c r="G352" s="17" t="str">
        <f>PROPER(Titanic_raw!E352)</f>
        <v>Female</v>
      </c>
    </row>
    <row r="353" spans="1:7" x14ac:dyDescent="0.2">
      <c r="A353" s="7">
        <f>Titanic_raw!A353</f>
        <v>1243</v>
      </c>
      <c r="B353" s="20" t="str">
        <f>Titanic_raw!D353</f>
        <v>Stokes, Mr. Philip Joseph</v>
      </c>
      <c r="C353" s="21" t="s">
        <v>609</v>
      </c>
      <c r="D353" s="22" t="str">
        <f t="shared" si="15"/>
        <v>Philip Joseph</v>
      </c>
      <c r="E353" s="21" t="str">
        <f t="shared" si="16"/>
        <v>Stokes</v>
      </c>
      <c r="F353" s="21" t="str">
        <f t="shared" si="17"/>
        <v>Mr. Philip Joseph Stokes</v>
      </c>
      <c r="G353" s="21" t="str">
        <f>PROPER(Titanic_raw!E353)</f>
        <v>Male</v>
      </c>
    </row>
    <row r="354" spans="1:7" x14ac:dyDescent="0.2">
      <c r="A354" s="7">
        <f>Titanic_raw!A354</f>
        <v>1244</v>
      </c>
      <c r="B354" s="16" t="str">
        <f>Titanic_raw!D354</f>
        <v>Dibden, Mr. William</v>
      </c>
      <c r="C354" s="17" t="s">
        <v>609</v>
      </c>
      <c r="D354" s="18" t="str">
        <f t="shared" si="15"/>
        <v>William</v>
      </c>
      <c r="E354" s="17" t="str">
        <f t="shared" si="16"/>
        <v>Dibden</v>
      </c>
      <c r="F354" s="17" t="str">
        <f t="shared" si="17"/>
        <v>Mr. William Dibden</v>
      </c>
      <c r="G354" s="17" t="str">
        <f>PROPER(Titanic_raw!E354)</f>
        <v>Male</v>
      </c>
    </row>
    <row r="355" spans="1:7" x14ac:dyDescent="0.2">
      <c r="A355" s="7">
        <f>Titanic_raw!A355</f>
        <v>1245</v>
      </c>
      <c r="B355" s="20" t="str">
        <f>Titanic_raw!D355</f>
        <v>Herman, Mr. Samuel</v>
      </c>
      <c r="C355" s="21" t="s">
        <v>609</v>
      </c>
      <c r="D355" s="22" t="str">
        <f t="shared" si="15"/>
        <v>Samuel</v>
      </c>
      <c r="E355" s="21" t="str">
        <f t="shared" si="16"/>
        <v>Herman</v>
      </c>
      <c r="F355" s="21" t="str">
        <f t="shared" si="17"/>
        <v>Mr. Samuel Herman</v>
      </c>
      <c r="G355" s="21" t="str">
        <f>PROPER(Titanic_raw!E355)</f>
        <v>Male</v>
      </c>
    </row>
    <row r="356" spans="1:7" x14ac:dyDescent="0.2">
      <c r="A356" s="7">
        <f>Titanic_raw!A356</f>
        <v>1246</v>
      </c>
      <c r="B356" s="16" t="str">
        <f>Titanic_raw!D356</f>
        <v>Dean, Miss. Elizabeth Gladys Millvina""</v>
      </c>
      <c r="C356" s="17" t="s">
        <v>611</v>
      </c>
      <c r="D356" s="18" t="str">
        <f t="shared" si="15"/>
        <v>Elizabeth Gladys Millvina""</v>
      </c>
      <c r="E356" s="17" t="str">
        <f t="shared" si="16"/>
        <v>Dean</v>
      </c>
      <c r="F356" s="17" t="str">
        <f t="shared" si="17"/>
        <v>Miss. Elizabeth Gladys Millvina"" Dean</v>
      </c>
      <c r="G356" s="17" t="str">
        <f>PROPER(Titanic_raw!E356)</f>
        <v>Female</v>
      </c>
    </row>
    <row r="357" spans="1:7" x14ac:dyDescent="0.2">
      <c r="A357" s="7">
        <f>Titanic_raw!A357</f>
        <v>1247</v>
      </c>
      <c r="B357" s="20" t="str">
        <f>Titanic_raw!D357</f>
        <v>Julian, Mr. Henry Forbes</v>
      </c>
      <c r="C357" s="21" t="s">
        <v>609</v>
      </c>
      <c r="D357" s="22" t="str">
        <f t="shared" si="15"/>
        <v>Henry Forbes</v>
      </c>
      <c r="E357" s="21" t="str">
        <f t="shared" si="16"/>
        <v>Julian</v>
      </c>
      <c r="F357" s="21" t="str">
        <f t="shared" si="17"/>
        <v>Mr. Henry Forbes Julian</v>
      </c>
      <c r="G357" s="21" t="str">
        <f>PROPER(Titanic_raw!E357)</f>
        <v>Male</v>
      </c>
    </row>
    <row r="358" spans="1:7" x14ac:dyDescent="0.2">
      <c r="A358" s="7">
        <f>Titanic_raw!A358</f>
        <v>1248</v>
      </c>
      <c r="B358" s="16" t="str">
        <f>Titanic_raw!D358</f>
        <v>Brown, Mrs. John Murray (Caroline Lane Lamson)</v>
      </c>
      <c r="C358" s="17" t="s">
        <v>610</v>
      </c>
      <c r="D358" s="18" t="str">
        <f t="shared" si="15"/>
        <v>John Murray (Caroline Lane Lamson)</v>
      </c>
      <c r="E358" s="17" t="str">
        <f t="shared" si="16"/>
        <v>Brown</v>
      </c>
      <c r="F358" s="17" t="str">
        <f t="shared" si="17"/>
        <v>Mrs. John Murray (Caroline Lane Lamson) Brown</v>
      </c>
      <c r="G358" s="17" t="str">
        <f>PROPER(Titanic_raw!E358)</f>
        <v>Female</v>
      </c>
    </row>
    <row r="359" spans="1:7" x14ac:dyDescent="0.2">
      <c r="A359" s="7">
        <f>Titanic_raw!A359</f>
        <v>1249</v>
      </c>
      <c r="B359" s="20" t="str">
        <f>Titanic_raw!D359</f>
        <v>Lockyer, Mr. Edward</v>
      </c>
      <c r="C359" s="21" t="s">
        <v>609</v>
      </c>
      <c r="D359" s="22" t="str">
        <f t="shared" si="15"/>
        <v>Edward</v>
      </c>
      <c r="E359" s="21" t="str">
        <f t="shared" si="16"/>
        <v>Lockyer</v>
      </c>
      <c r="F359" s="21" t="str">
        <f t="shared" si="17"/>
        <v>Mr. Edward Lockyer</v>
      </c>
      <c r="G359" s="21" t="str">
        <f>PROPER(Titanic_raw!E359)</f>
        <v>Male</v>
      </c>
    </row>
    <row r="360" spans="1:7" x14ac:dyDescent="0.2">
      <c r="A360" s="7">
        <f>Titanic_raw!A360</f>
        <v>1250</v>
      </c>
      <c r="B360" s="16" t="str">
        <f>Titanic_raw!D360</f>
        <v>O'Keefe, Mr. Patrick</v>
      </c>
      <c r="C360" s="17" t="s">
        <v>609</v>
      </c>
      <c r="D360" s="18" t="str">
        <f t="shared" si="15"/>
        <v>Patrick</v>
      </c>
      <c r="E360" s="17" t="str">
        <f t="shared" si="16"/>
        <v>O'Keefe</v>
      </c>
      <c r="F360" s="17" t="str">
        <f t="shared" si="17"/>
        <v>Mr. Patrick O'Keefe</v>
      </c>
      <c r="G360" s="17" t="str">
        <f>PROPER(Titanic_raw!E360)</f>
        <v>Male</v>
      </c>
    </row>
    <row r="361" spans="1:7" x14ac:dyDescent="0.2">
      <c r="A361" s="7">
        <f>Titanic_raw!A361</f>
        <v>1251</v>
      </c>
      <c r="B361" s="20" t="str">
        <f>Titanic_raw!D361</f>
        <v>Lindell, Mrs. Edvard Bengtsson (Elin Gerda Persson)</v>
      </c>
      <c r="C361" s="21" t="s">
        <v>610</v>
      </c>
      <c r="D361" s="22" t="str">
        <f t="shared" si="15"/>
        <v>Edvard Bengtsson (Elin Gerda Persson)</v>
      </c>
      <c r="E361" s="21" t="str">
        <f t="shared" si="16"/>
        <v>Lindell</v>
      </c>
      <c r="F361" s="21" t="str">
        <f t="shared" si="17"/>
        <v>Mrs. Edvard Bengtsson (Elin Gerda Persson) Lindell</v>
      </c>
      <c r="G361" s="21" t="str">
        <f>PROPER(Titanic_raw!E361)</f>
        <v>Female</v>
      </c>
    </row>
    <row r="362" spans="1:7" x14ac:dyDescent="0.2">
      <c r="A362" s="7">
        <f>Titanic_raw!A362</f>
        <v>1252</v>
      </c>
      <c r="B362" s="16" t="str">
        <f>Titanic_raw!D362</f>
        <v>Sage, Master. William Henry</v>
      </c>
      <c r="C362" s="17" t="s">
        <v>612</v>
      </c>
      <c r="D362" s="18" t="str">
        <f t="shared" si="15"/>
        <v>William Henry</v>
      </c>
      <c r="E362" s="17" t="str">
        <f t="shared" si="16"/>
        <v>Sage</v>
      </c>
      <c r="F362" s="17" t="str">
        <f t="shared" si="17"/>
        <v>Master. William Henry Sage</v>
      </c>
      <c r="G362" s="17" t="str">
        <f>PROPER(Titanic_raw!E362)</f>
        <v>Male</v>
      </c>
    </row>
    <row r="363" spans="1:7" x14ac:dyDescent="0.2">
      <c r="A363" s="7">
        <f>Titanic_raw!A363</f>
        <v>1253</v>
      </c>
      <c r="B363" s="20" t="str">
        <f>Titanic_raw!D363</f>
        <v>Mallet, Mrs. Albert (Antoinette Magnin)</v>
      </c>
      <c r="C363" s="21" t="s">
        <v>610</v>
      </c>
      <c r="D363" s="22" t="str">
        <f t="shared" si="15"/>
        <v>Albert (Antoinette Magnin)</v>
      </c>
      <c r="E363" s="21" t="str">
        <f t="shared" si="16"/>
        <v>Mallet</v>
      </c>
      <c r="F363" s="21" t="str">
        <f t="shared" si="17"/>
        <v>Mrs. Albert (Antoinette Magnin) Mallet</v>
      </c>
      <c r="G363" s="21" t="str">
        <f>PROPER(Titanic_raw!E363)</f>
        <v>Female</v>
      </c>
    </row>
    <row r="364" spans="1:7" x14ac:dyDescent="0.2">
      <c r="A364" s="7">
        <f>Titanic_raw!A364</f>
        <v>1254</v>
      </c>
      <c r="B364" s="16" t="str">
        <f>Titanic_raw!D364</f>
        <v>Ware, Mrs. John James (Florence Louise Long)</v>
      </c>
      <c r="C364" s="17" t="s">
        <v>610</v>
      </c>
      <c r="D364" s="18" t="str">
        <f t="shared" si="15"/>
        <v>John James (Florence Louise Long)</v>
      </c>
      <c r="E364" s="17" t="str">
        <f t="shared" si="16"/>
        <v>Ware</v>
      </c>
      <c r="F364" s="17" t="str">
        <f t="shared" si="17"/>
        <v>Mrs. John James (Florence Louise Long) Ware</v>
      </c>
      <c r="G364" s="17" t="str">
        <f>PROPER(Titanic_raw!E364)</f>
        <v>Female</v>
      </c>
    </row>
    <row r="365" spans="1:7" x14ac:dyDescent="0.2">
      <c r="A365" s="7">
        <f>Titanic_raw!A365</f>
        <v>1255</v>
      </c>
      <c r="B365" s="20" t="str">
        <f>Titanic_raw!D365</f>
        <v>Strilic, Mr. Ivan</v>
      </c>
      <c r="C365" s="21" t="s">
        <v>609</v>
      </c>
      <c r="D365" s="22" t="str">
        <f t="shared" si="15"/>
        <v>Ivan</v>
      </c>
      <c r="E365" s="21" t="str">
        <f t="shared" si="16"/>
        <v>Strilic</v>
      </c>
      <c r="F365" s="21" t="str">
        <f t="shared" si="17"/>
        <v>Mr. Ivan Strilic</v>
      </c>
      <c r="G365" s="21" t="str">
        <f>PROPER(Titanic_raw!E365)</f>
        <v>Male</v>
      </c>
    </row>
    <row r="366" spans="1:7" x14ac:dyDescent="0.2">
      <c r="A366" s="7">
        <f>Titanic_raw!A366</f>
        <v>1256</v>
      </c>
      <c r="B366" s="16" t="str">
        <f>Titanic_raw!D366</f>
        <v>Harder, Mrs. George Achilles (Dorothy Annan)</v>
      </c>
      <c r="C366" s="17" t="s">
        <v>610</v>
      </c>
      <c r="D366" s="18" t="str">
        <f t="shared" si="15"/>
        <v>George Achilles (Dorothy Annan)</v>
      </c>
      <c r="E366" s="17" t="str">
        <f t="shared" si="16"/>
        <v>Harder</v>
      </c>
      <c r="F366" s="17" t="str">
        <f t="shared" si="17"/>
        <v>Mrs. George Achilles (Dorothy Annan) Harder</v>
      </c>
      <c r="G366" s="17" t="str">
        <f>PROPER(Titanic_raw!E366)</f>
        <v>Female</v>
      </c>
    </row>
    <row r="367" spans="1:7" x14ac:dyDescent="0.2">
      <c r="A367" s="7">
        <f>Titanic_raw!A367</f>
        <v>1257</v>
      </c>
      <c r="B367" s="20" t="str">
        <f>Titanic_raw!D367</f>
        <v>Sage, Mrs. John (Annie Bullen)</v>
      </c>
      <c r="C367" s="21" t="s">
        <v>610</v>
      </c>
      <c r="D367" s="22" t="str">
        <f t="shared" si="15"/>
        <v>John (Annie Bullen)</v>
      </c>
      <c r="E367" s="21" t="str">
        <f t="shared" si="16"/>
        <v>Sage</v>
      </c>
      <c r="F367" s="21" t="str">
        <f t="shared" si="17"/>
        <v>Mrs. John (Annie Bullen) Sage</v>
      </c>
      <c r="G367" s="21" t="str">
        <f>PROPER(Titanic_raw!E367)</f>
        <v>Female</v>
      </c>
    </row>
    <row r="368" spans="1:7" x14ac:dyDescent="0.2">
      <c r="A368" s="7">
        <f>Titanic_raw!A368</f>
        <v>1258</v>
      </c>
      <c r="B368" s="16" t="str">
        <f>Titanic_raw!D368</f>
        <v>Caram, Mr. Joseph</v>
      </c>
      <c r="C368" s="17" t="s">
        <v>609</v>
      </c>
      <c r="D368" s="18" t="str">
        <f t="shared" si="15"/>
        <v>Joseph</v>
      </c>
      <c r="E368" s="17" t="str">
        <f t="shared" si="16"/>
        <v>Caram</v>
      </c>
      <c r="F368" s="17" t="str">
        <f t="shared" si="17"/>
        <v>Mr. Joseph Caram</v>
      </c>
      <c r="G368" s="17" t="str">
        <f>PROPER(Titanic_raw!E368)</f>
        <v>Male</v>
      </c>
    </row>
    <row r="369" spans="1:7" x14ac:dyDescent="0.2">
      <c r="A369" s="7">
        <f>Titanic_raw!A369</f>
        <v>1259</v>
      </c>
      <c r="B369" s="20" t="str">
        <f>Titanic_raw!D369</f>
        <v>Riihivouri, Miss. Susanna Juhantytar Sanni""</v>
      </c>
      <c r="C369" s="21" t="s">
        <v>611</v>
      </c>
      <c r="D369" s="22" t="str">
        <f t="shared" si="15"/>
        <v>Susanna Juhantytar Sanni""</v>
      </c>
      <c r="E369" s="21" t="str">
        <f t="shared" si="16"/>
        <v>Riihivouri</v>
      </c>
      <c r="F369" s="21" t="str">
        <f t="shared" si="17"/>
        <v>Miss. Susanna Juhantytar Sanni"" Riihivouri</v>
      </c>
      <c r="G369" s="21" t="str">
        <f>PROPER(Titanic_raw!E369)</f>
        <v>Female</v>
      </c>
    </row>
    <row r="370" spans="1:7" x14ac:dyDescent="0.2">
      <c r="A370" s="7">
        <f>Titanic_raw!A370</f>
        <v>1260</v>
      </c>
      <c r="B370" s="16" t="str">
        <f>Titanic_raw!D370</f>
        <v>Gibson, Mrs. Leonard (Pauline C Boeson)</v>
      </c>
      <c r="C370" s="17" t="s">
        <v>610</v>
      </c>
      <c r="D370" s="18" t="str">
        <f t="shared" si="15"/>
        <v>Leonard (Pauline C Boeson)</v>
      </c>
      <c r="E370" s="17" t="str">
        <f t="shared" si="16"/>
        <v>Gibson</v>
      </c>
      <c r="F370" s="17" t="str">
        <f t="shared" si="17"/>
        <v>Mrs. Leonard (Pauline C Boeson) Gibson</v>
      </c>
      <c r="G370" s="17" t="str">
        <f>PROPER(Titanic_raw!E370)</f>
        <v>Female</v>
      </c>
    </row>
    <row r="371" spans="1:7" x14ac:dyDescent="0.2">
      <c r="A371" s="7">
        <f>Titanic_raw!A371</f>
        <v>1261</v>
      </c>
      <c r="B371" s="20" t="str">
        <f>Titanic_raw!D371</f>
        <v>Pallas y Castello, Mr. Emilio</v>
      </c>
      <c r="C371" s="21" t="s">
        <v>609</v>
      </c>
      <c r="D371" s="22" t="str">
        <f t="shared" si="15"/>
        <v>Emilio</v>
      </c>
      <c r="E371" s="21" t="str">
        <f t="shared" si="16"/>
        <v>Pallas y Castello</v>
      </c>
      <c r="F371" s="21" t="str">
        <f t="shared" si="17"/>
        <v>Mr. Emilio Pallas y Castello</v>
      </c>
      <c r="G371" s="21" t="str">
        <f>PROPER(Titanic_raw!E371)</f>
        <v>Male</v>
      </c>
    </row>
    <row r="372" spans="1:7" x14ac:dyDescent="0.2">
      <c r="A372" s="7">
        <f>Titanic_raw!A372</f>
        <v>1262</v>
      </c>
      <c r="B372" s="16" t="str">
        <f>Titanic_raw!D372</f>
        <v>Giles, Mr. Edgar</v>
      </c>
      <c r="C372" s="17" t="s">
        <v>609</v>
      </c>
      <c r="D372" s="18" t="str">
        <f t="shared" si="15"/>
        <v>Edgar</v>
      </c>
      <c r="E372" s="17" t="str">
        <f t="shared" si="16"/>
        <v>Giles</v>
      </c>
      <c r="F372" s="17" t="str">
        <f t="shared" si="17"/>
        <v>Mr. Edgar Giles</v>
      </c>
      <c r="G372" s="17" t="str">
        <f>PROPER(Titanic_raw!E372)</f>
        <v>Male</v>
      </c>
    </row>
    <row r="373" spans="1:7" x14ac:dyDescent="0.2">
      <c r="A373" s="7">
        <f>Titanic_raw!A373</f>
        <v>1263</v>
      </c>
      <c r="B373" s="20" t="str">
        <f>Titanic_raw!D373</f>
        <v>Wilson, Miss. Helen Alice</v>
      </c>
      <c r="C373" s="21" t="s">
        <v>611</v>
      </c>
      <c r="D373" s="22" t="str">
        <f t="shared" si="15"/>
        <v>Helen Alice</v>
      </c>
      <c r="E373" s="21" t="str">
        <f t="shared" si="16"/>
        <v>Wilson</v>
      </c>
      <c r="F373" s="21" t="str">
        <f t="shared" si="17"/>
        <v>Miss. Helen Alice Wilson</v>
      </c>
      <c r="G373" s="21" t="str">
        <f>PROPER(Titanic_raw!E373)</f>
        <v>Female</v>
      </c>
    </row>
    <row r="374" spans="1:7" x14ac:dyDescent="0.2">
      <c r="A374" s="7">
        <f>Titanic_raw!A374</f>
        <v>1264</v>
      </c>
      <c r="B374" s="16" t="str">
        <f>Titanic_raw!D374</f>
        <v>Ismay, Mr. Joseph Bruce</v>
      </c>
      <c r="C374" s="17" t="s">
        <v>609</v>
      </c>
      <c r="D374" s="18" t="str">
        <f t="shared" si="15"/>
        <v>Joseph Bruce</v>
      </c>
      <c r="E374" s="17" t="str">
        <f t="shared" si="16"/>
        <v>Ismay</v>
      </c>
      <c r="F374" s="17" t="str">
        <f t="shared" si="17"/>
        <v>Mr. Joseph Bruce Ismay</v>
      </c>
      <c r="G374" s="17" t="str">
        <f>PROPER(Titanic_raw!E374)</f>
        <v>Male</v>
      </c>
    </row>
    <row r="375" spans="1:7" x14ac:dyDescent="0.2">
      <c r="A375" s="7">
        <f>Titanic_raw!A375</f>
        <v>1265</v>
      </c>
      <c r="B375" s="20" t="str">
        <f>Titanic_raw!D375</f>
        <v>Harbeck, Mr. William H</v>
      </c>
      <c r="C375" s="21" t="s">
        <v>609</v>
      </c>
      <c r="D375" s="22" t="str">
        <f t="shared" si="15"/>
        <v>William H</v>
      </c>
      <c r="E375" s="21" t="str">
        <f t="shared" si="16"/>
        <v>Harbeck</v>
      </c>
      <c r="F375" s="21" t="str">
        <f t="shared" si="17"/>
        <v>Mr. William H Harbeck</v>
      </c>
      <c r="G375" s="21" t="str">
        <f>PROPER(Titanic_raw!E375)</f>
        <v>Male</v>
      </c>
    </row>
    <row r="376" spans="1:7" x14ac:dyDescent="0.2">
      <c r="A376" s="7">
        <f>Titanic_raw!A376</f>
        <v>1266</v>
      </c>
      <c r="B376" s="16" t="str">
        <f>Titanic_raw!D376</f>
        <v>Dodge, Mrs. Washington (Ruth Vidaver)</v>
      </c>
      <c r="C376" s="17" t="s">
        <v>610</v>
      </c>
      <c r="D376" s="18" t="str">
        <f t="shared" si="15"/>
        <v>Washington (Ruth Vidaver)</v>
      </c>
      <c r="E376" s="17" t="str">
        <f t="shared" si="16"/>
        <v>Dodge</v>
      </c>
      <c r="F376" s="17" t="str">
        <f t="shared" si="17"/>
        <v>Mrs. Washington (Ruth Vidaver) Dodge</v>
      </c>
      <c r="G376" s="17" t="str">
        <f>PROPER(Titanic_raw!E376)</f>
        <v>Female</v>
      </c>
    </row>
    <row r="377" spans="1:7" x14ac:dyDescent="0.2">
      <c r="A377" s="7">
        <f>Titanic_raw!A377</f>
        <v>1267</v>
      </c>
      <c r="B377" s="20" t="str">
        <f>Titanic_raw!D377</f>
        <v>Bowen, Miss. Grace Scott</v>
      </c>
      <c r="C377" s="21" t="s">
        <v>611</v>
      </c>
      <c r="D377" s="22" t="str">
        <f t="shared" si="15"/>
        <v>Grace Scott</v>
      </c>
      <c r="E377" s="21" t="str">
        <f t="shared" si="16"/>
        <v>Bowen</v>
      </c>
      <c r="F377" s="21" t="str">
        <f t="shared" si="17"/>
        <v>Miss. Grace Scott Bowen</v>
      </c>
      <c r="G377" s="21" t="str">
        <f>PROPER(Titanic_raw!E377)</f>
        <v>Female</v>
      </c>
    </row>
    <row r="378" spans="1:7" x14ac:dyDescent="0.2">
      <c r="A378" s="7">
        <f>Titanic_raw!A378</f>
        <v>1268</v>
      </c>
      <c r="B378" s="16" t="str">
        <f>Titanic_raw!D378</f>
        <v>Kink, Miss. Maria</v>
      </c>
      <c r="C378" s="17" t="s">
        <v>611</v>
      </c>
      <c r="D378" s="18" t="str">
        <f t="shared" si="15"/>
        <v>Maria</v>
      </c>
      <c r="E378" s="17" t="str">
        <f t="shared" si="16"/>
        <v>Kink</v>
      </c>
      <c r="F378" s="17" t="str">
        <f t="shared" si="17"/>
        <v>Miss. Maria Kink</v>
      </c>
      <c r="G378" s="17" t="str">
        <f>PROPER(Titanic_raw!E378)</f>
        <v>Female</v>
      </c>
    </row>
    <row r="379" spans="1:7" x14ac:dyDescent="0.2">
      <c r="A379" s="7">
        <f>Titanic_raw!A379</f>
        <v>1269</v>
      </c>
      <c r="B379" s="20" t="str">
        <f>Titanic_raw!D379</f>
        <v>Cotterill, Mr. Henry Harry""</v>
      </c>
      <c r="C379" s="21" t="s">
        <v>609</v>
      </c>
      <c r="D379" s="22" t="str">
        <f t="shared" si="15"/>
        <v>Henry Harry""</v>
      </c>
      <c r="E379" s="21" t="str">
        <f t="shared" si="16"/>
        <v>Cotterill</v>
      </c>
      <c r="F379" s="21" t="str">
        <f t="shared" si="17"/>
        <v>Mr. Henry Harry"" Cotterill</v>
      </c>
      <c r="G379" s="21" t="str">
        <f>PROPER(Titanic_raw!E379)</f>
        <v>Male</v>
      </c>
    </row>
    <row r="380" spans="1:7" x14ac:dyDescent="0.2">
      <c r="A380" s="7">
        <f>Titanic_raw!A380</f>
        <v>1270</v>
      </c>
      <c r="B380" s="16" t="str">
        <f>Titanic_raw!D380</f>
        <v>Hipkins, Mr. William Edward</v>
      </c>
      <c r="C380" s="17" t="s">
        <v>609</v>
      </c>
      <c r="D380" s="18" t="str">
        <f t="shared" si="15"/>
        <v>William Edward</v>
      </c>
      <c r="E380" s="17" t="str">
        <f t="shared" si="16"/>
        <v>Hipkins</v>
      </c>
      <c r="F380" s="17" t="str">
        <f t="shared" si="17"/>
        <v>Mr. William Edward Hipkins</v>
      </c>
      <c r="G380" s="17" t="str">
        <f>PROPER(Titanic_raw!E380)</f>
        <v>Male</v>
      </c>
    </row>
    <row r="381" spans="1:7" x14ac:dyDescent="0.2">
      <c r="A381" s="7">
        <f>Titanic_raw!A381</f>
        <v>1271</v>
      </c>
      <c r="B381" s="20" t="str">
        <f>Titanic_raw!D381</f>
        <v>Asplund, Master. Carl Edgar</v>
      </c>
      <c r="C381" s="21" t="s">
        <v>612</v>
      </c>
      <c r="D381" s="22" t="str">
        <f t="shared" si="15"/>
        <v>Carl Edgar</v>
      </c>
      <c r="E381" s="21" t="str">
        <f t="shared" si="16"/>
        <v>Asplund</v>
      </c>
      <c r="F381" s="21" t="str">
        <f t="shared" si="17"/>
        <v>Master. Carl Edgar Asplund</v>
      </c>
      <c r="G381" s="21" t="str">
        <f>PROPER(Titanic_raw!E381)</f>
        <v>Male</v>
      </c>
    </row>
    <row r="382" spans="1:7" x14ac:dyDescent="0.2">
      <c r="A382" s="7">
        <f>Titanic_raw!A382</f>
        <v>1272</v>
      </c>
      <c r="B382" s="16" t="str">
        <f>Titanic_raw!D382</f>
        <v>O'Connor, Mr. Patrick</v>
      </c>
      <c r="C382" s="17" t="s">
        <v>609</v>
      </c>
      <c r="D382" s="18" t="str">
        <f t="shared" si="15"/>
        <v>Patrick</v>
      </c>
      <c r="E382" s="17" t="str">
        <f t="shared" si="16"/>
        <v>O'Connor</v>
      </c>
      <c r="F382" s="17" t="str">
        <f t="shared" si="17"/>
        <v>Mr. Patrick O'Connor</v>
      </c>
      <c r="G382" s="17" t="str">
        <f>PROPER(Titanic_raw!E382)</f>
        <v>Male</v>
      </c>
    </row>
    <row r="383" spans="1:7" x14ac:dyDescent="0.2">
      <c r="A383" s="7">
        <f>Titanic_raw!A383</f>
        <v>1273</v>
      </c>
      <c r="B383" s="20" t="str">
        <f>Titanic_raw!D383</f>
        <v>Foley, Mr. Joseph</v>
      </c>
      <c r="C383" s="21" t="s">
        <v>609</v>
      </c>
      <c r="D383" s="22" t="str">
        <f t="shared" si="15"/>
        <v>Joseph</v>
      </c>
      <c r="E383" s="21" t="str">
        <f t="shared" si="16"/>
        <v>Foley</v>
      </c>
      <c r="F383" s="21" t="str">
        <f t="shared" si="17"/>
        <v>Mr. Joseph Foley</v>
      </c>
      <c r="G383" s="21" t="str">
        <f>PROPER(Titanic_raw!E383)</f>
        <v>Male</v>
      </c>
    </row>
    <row r="384" spans="1:7" x14ac:dyDescent="0.2">
      <c r="A384" s="7">
        <f>Titanic_raw!A384</f>
        <v>1274</v>
      </c>
      <c r="B384" s="16" t="str">
        <f>Titanic_raw!D384</f>
        <v>Risien, Mrs. Samuel (Emma)</v>
      </c>
      <c r="C384" s="17" t="s">
        <v>610</v>
      </c>
      <c r="D384" s="18" t="str">
        <f t="shared" si="15"/>
        <v>Samuel (Emma)</v>
      </c>
      <c r="E384" s="17" t="str">
        <f t="shared" si="16"/>
        <v>Risien</v>
      </c>
      <c r="F384" s="17" t="str">
        <f t="shared" si="17"/>
        <v>Mrs. Samuel (Emma) Risien</v>
      </c>
      <c r="G384" s="17" t="str">
        <f>PROPER(Titanic_raw!E384)</f>
        <v>Female</v>
      </c>
    </row>
    <row r="385" spans="1:7" x14ac:dyDescent="0.2">
      <c r="A385" s="7">
        <f>Titanic_raw!A385</f>
        <v>1275</v>
      </c>
      <c r="B385" s="20" t="str">
        <f>Titanic_raw!D385</f>
        <v>McNamee, Mrs. Neal (Eileen O'Leary)</v>
      </c>
      <c r="C385" s="21" t="s">
        <v>610</v>
      </c>
      <c r="D385" s="22" t="str">
        <f t="shared" si="15"/>
        <v>Neal (Eileen O'Leary)</v>
      </c>
      <c r="E385" s="21" t="str">
        <f t="shared" si="16"/>
        <v>McNamee</v>
      </c>
      <c r="F385" s="21" t="str">
        <f t="shared" si="17"/>
        <v>Mrs. Neal (Eileen O'Leary) McNamee</v>
      </c>
      <c r="G385" s="21" t="str">
        <f>PROPER(Titanic_raw!E385)</f>
        <v>Female</v>
      </c>
    </row>
    <row r="386" spans="1:7" x14ac:dyDescent="0.2">
      <c r="A386" s="7">
        <f>Titanic_raw!A386</f>
        <v>1276</v>
      </c>
      <c r="B386" s="16" t="str">
        <f>Titanic_raw!D386</f>
        <v>Wheeler, Mr. Edwin Frederick""</v>
      </c>
      <c r="C386" s="17" t="s">
        <v>609</v>
      </c>
      <c r="D386" s="18" t="str">
        <f t="shared" si="15"/>
        <v>Edwin Frederick""</v>
      </c>
      <c r="E386" s="17" t="str">
        <f t="shared" si="16"/>
        <v>Wheeler</v>
      </c>
      <c r="F386" s="17" t="str">
        <f t="shared" si="17"/>
        <v>Mr. Edwin Frederick"" Wheeler</v>
      </c>
      <c r="G386" s="17" t="str">
        <f>PROPER(Titanic_raw!E386)</f>
        <v>Male</v>
      </c>
    </row>
    <row r="387" spans="1:7" x14ac:dyDescent="0.2">
      <c r="A387" s="7">
        <f>Titanic_raw!A387</f>
        <v>1277</v>
      </c>
      <c r="B387" s="20" t="str">
        <f>Titanic_raw!D387</f>
        <v>Herman, Miss. Kate</v>
      </c>
      <c r="C387" s="21" t="s">
        <v>611</v>
      </c>
      <c r="D387" s="22" t="str">
        <f t="shared" ref="D387:D419" si="18">RIGHT(B387,LEN(B387)-FIND(".",B387)-1)</f>
        <v>Kate</v>
      </c>
      <c r="E387" s="21" t="str">
        <f t="shared" ref="E387:E419" si="19">LEFT(B387,FIND(",",B387)-1)</f>
        <v>Herman</v>
      </c>
      <c r="F387" s="21" t="str">
        <f t="shared" ref="F387:F419" si="20">CONCATENATE(C387," ",D387," ",E387)</f>
        <v>Miss. Kate Herman</v>
      </c>
      <c r="G387" s="21" t="str">
        <f>PROPER(Titanic_raw!E387)</f>
        <v>Female</v>
      </c>
    </row>
    <row r="388" spans="1:7" x14ac:dyDescent="0.2">
      <c r="A388" s="7">
        <f>Titanic_raw!A388</f>
        <v>1278</v>
      </c>
      <c r="B388" s="16" t="str">
        <f>Titanic_raw!D388</f>
        <v>Aronsson, Mr. Ernst Axel Algot</v>
      </c>
      <c r="C388" s="17" t="s">
        <v>609</v>
      </c>
      <c r="D388" s="18" t="str">
        <f t="shared" si="18"/>
        <v>Ernst Axel Algot</v>
      </c>
      <c r="E388" s="17" t="str">
        <f t="shared" si="19"/>
        <v>Aronsson</v>
      </c>
      <c r="F388" s="17" t="str">
        <f t="shared" si="20"/>
        <v>Mr. Ernst Axel Algot Aronsson</v>
      </c>
      <c r="G388" s="17" t="str">
        <f>PROPER(Titanic_raw!E388)</f>
        <v>Male</v>
      </c>
    </row>
    <row r="389" spans="1:7" x14ac:dyDescent="0.2">
      <c r="A389" s="7">
        <f>Titanic_raw!A389</f>
        <v>1279</v>
      </c>
      <c r="B389" s="20" t="str">
        <f>Titanic_raw!D389</f>
        <v>Ashby, Mr. John</v>
      </c>
      <c r="C389" s="21" t="s">
        <v>609</v>
      </c>
      <c r="D389" s="22" t="str">
        <f t="shared" si="18"/>
        <v>John</v>
      </c>
      <c r="E389" s="21" t="str">
        <f t="shared" si="19"/>
        <v>Ashby</v>
      </c>
      <c r="F389" s="21" t="str">
        <f t="shared" si="20"/>
        <v>Mr. John Ashby</v>
      </c>
      <c r="G389" s="21" t="str">
        <f>PROPER(Titanic_raw!E389)</f>
        <v>Male</v>
      </c>
    </row>
    <row r="390" spans="1:7" x14ac:dyDescent="0.2">
      <c r="A390" s="7">
        <f>Titanic_raw!A390</f>
        <v>1280</v>
      </c>
      <c r="B390" s="16" t="str">
        <f>Titanic_raw!D390</f>
        <v>Canavan, Mr. Patrick</v>
      </c>
      <c r="C390" s="17" t="s">
        <v>609</v>
      </c>
      <c r="D390" s="18" t="str">
        <f t="shared" si="18"/>
        <v>Patrick</v>
      </c>
      <c r="E390" s="17" t="str">
        <f t="shared" si="19"/>
        <v>Canavan</v>
      </c>
      <c r="F390" s="17" t="str">
        <f t="shared" si="20"/>
        <v>Mr. Patrick Canavan</v>
      </c>
      <c r="G390" s="17" t="str">
        <f>PROPER(Titanic_raw!E390)</f>
        <v>Male</v>
      </c>
    </row>
    <row r="391" spans="1:7" x14ac:dyDescent="0.2">
      <c r="A391" s="7">
        <f>Titanic_raw!A391</f>
        <v>1281</v>
      </c>
      <c r="B391" s="20" t="str">
        <f>Titanic_raw!D391</f>
        <v>Palsson, Master. Paul Folke</v>
      </c>
      <c r="C391" s="21" t="s">
        <v>612</v>
      </c>
      <c r="D391" s="22" t="str">
        <f t="shared" si="18"/>
        <v>Paul Folke</v>
      </c>
      <c r="E391" s="21" t="str">
        <f t="shared" si="19"/>
        <v>Palsson</v>
      </c>
      <c r="F391" s="21" t="str">
        <f t="shared" si="20"/>
        <v>Master. Paul Folke Palsson</v>
      </c>
      <c r="G391" s="21" t="str">
        <f>PROPER(Titanic_raw!E391)</f>
        <v>Male</v>
      </c>
    </row>
    <row r="392" spans="1:7" x14ac:dyDescent="0.2">
      <c r="A392" s="7">
        <f>Titanic_raw!A392</f>
        <v>1282</v>
      </c>
      <c r="B392" s="16" t="str">
        <f>Titanic_raw!D392</f>
        <v>Payne, Mr. Vivian Ponsonby</v>
      </c>
      <c r="C392" s="17" t="s">
        <v>609</v>
      </c>
      <c r="D392" s="18" t="str">
        <f t="shared" si="18"/>
        <v>Vivian Ponsonby</v>
      </c>
      <c r="E392" s="17" t="str">
        <f t="shared" si="19"/>
        <v>Payne</v>
      </c>
      <c r="F392" s="17" t="str">
        <f t="shared" si="20"/>
        <v>Mr. Vivian Ponsonby Payne</v>
      </c>
      <c r="G392" s="17" t="str">
        <f>PROPER(Titanic_raw!E392)</f>
        <v>Male</v>
      </c>
    </row>
    <row r="393" spans="1:7" x14ac:dyDescent="0.2">
      <c r="A393" s="7">
        <f>Titanic_raw!A393</f>
        <v>1283</v>
      </c>
      <c r="B393" s="20" t="str">
        <f>Titanic_raw!D393</f>
        <v>Lines, Mrs. Ernest H (Elizabeth Lindsey James)</v>
      </c>
      <c r="C393" s="21" t="s">
        <v>610</v>
      </c>
      <c r="D393" s="22" t="str">
        <f t="shared" si="18"/>
        <v>Ernest H (Elizabeth Lindsey James)</v>
      </c>
      <c r="E393" s="21" t="str">
        <f t="shared" si="19"/>
        <v>Lines</v>
      </c>
      <c r="F393" s="21" t="str">
        <f t="shared" si="20"/>
        <v>Mrs. Ernest H (Elizabeth Lindsey James) Lines</v>
      </c>
      <c r="G393" s="21" t="str">
        <f>PROPER(Titanic_raw!E393)</f>
        <v>Female</v>
      </c>
    </row>
    <row r="394" spans="1:7" x14ac:dyDescent="0.2">
      <c r="A394" s="7">
        <f>Titanic_raw!A394</f>
        <v>1284</v>
      </c>
      <c r="B394" s="16" t="str">
        <f>Titanic_raw!D394</f>
        <v>Abbott, Master. Eugene Joseph</v>
      </c>
      <c r="C394" s="17" t="s">
        <v>612</v>
      </c>
      <c r="D394" s="18" t="str">
        <f t="shared" si="18"/>
        <v>Eugene Joseph</v>
      </c>
      <c r="E394" s="17" t="str">
        <f t="shared" si="19"/>
        <v>Abbott</v>
      </c>
      <c r="F394" s="17" t="str">
        <f t="shared" si="20"/>
        <v>Master. Eugene Joseph Abbott</v>
      </c>
      <c r="G394" s="17" t="str">
        <f>PROPER(Titanic_raw!E394)</f>
        <v>Male</v>
      </c>
    </row>
    <row r="395" spans="1:7" x14ac:dyDescent="0.2">
      <c r="A395" s="7">
        <f>Titanic_raw!A395</f>
        <v>1285</v>
      </c>
      <c r="B395" s="20" t="str">
        <f>Titanic_raw!D395</f>
        <v>Gilbert, Mr. William</v>
      </c>
      <c r="C395" s="21" t="s">
        <v>609</v>
      </c>
      <c r="D395" s="22" t="str">
        <f t="shared" si="18"/>
        <v>William</v>
      </c>
      <c r="E395" s="21" t="str">
        <f t="shared" si="19"/>
        <v>Gilbert</v>
      </c>
      <c r="F395" s="21" t="str">
        <f t="shared" si="20"/>
        <v>Mr. William Gilbert</v>
      </c>
      <c r="G395" s="21" t="str">
        <f>PROPER(Titanic_raw!E395)</f>
        <v>Male</v>
      </c>
    </row>
    <row r="396" spans="1:7" x14ac:dyDescent="0.2">
      <c r="A396" s="7">
        <f>Titanic_raw!A396</f>
        <v>1286</v>
      </c>
      <c r="B396" s="16" t="str">
        <f>Titanic_raw!D396</f>
        <v>Kink-Heilmann, Mr. Anton</v>
      </c>
      <c r="C396" s="17" t="s">
        <v>609</v>
      </c>
      <c r="D396" s="18" t="str">
        <f t="shared" si="18"/>
        <v>Anton</v>
      </c>
      <c r="E396" s="17" t="str">
        <f t="shared" si="19"/>
        <v>Kink-Heilmann</v>
      </c>
      <c r="F396" s="17" t="str">
        <f t="shared" si="20"/>
        <v>Mr. Anton Kink-Heilmann</v>
      </c>
      <c r="G396" s="17" t="str">
        <f>PROPER(Titanic_raw!E396)</f>
        <v>Male</v>
      </c>
    </row>
    <row r="397" spans="1:7" x14ac:dyDescent="0.2">
      <c r="A397" s="7">
        <f>Titanic_raw!A397</f>
        <v>1287</v>
      </c>
      <c r="B397" s="20" t="str">
        <f>Titanic_raw!D397</f>
        <v>Smith, Mrs. Lucien Philip (Mary Eloise Hughes)</v>
      </c>
      <c r="C397" s="21" t="s">
        <v>610</v>
      </c>
      <c r="D397" s="22" t="str">
        <f t="shared" si="18"/>
        <v>Lucien Philip (Mary Eloise Hughes)</v>
      </c>
      <c r="E397" s="21" t="str">
        <f t="shared" si="19"/>
        <v>Smith</v>
      </c>
      <c r="F397" s="21" t="str">
        <f t="shared" si="20"/>
        <v>Mrs. Lucien Philip (Mary Eloise Hughes) Smith</v>
      </c>
      <c r="G397" s="21" t="str">
        <f>PROPER(Titanic_raw!E397)</f>
        <v>Female</v>
      </c>
    </row>
    <row r="398" spans="1:7" x14ac:dyDescent="0.2">
      <c r="A398" s="7">
        <f>Titanic_raw!A398</f>
        <v>1288</v>
      </c>
      <c r="B398" s="16" t="str">
        <f>Titanic_raw!D398</f>
        <v>Colbert, Mr. Patrick</v>
      </c>
      <c r="C398" s="17" t="s">
        <v>609</v>
      </c>
      <c r="D398" s="18" t="str">
        <f t="shared" si="18"/>
        <v>Patrick</v>
      </c>
      <c r="E398" s="17" t="str">
        <f t="shared" si="19"/>
        <v>Colbert</v>
      </c>
      <c r="F398" s="17" t="str">
        <f t="shared" si="20"/>
        <v>Mr. Patrick Colbert</v>
      </c>
      <c r="G398" s="17" t="str">
        <f>PROPER(Titanic_raw!E398)</f>
        <v>Male</v>
      </c>
    </row>
    <row r="399" spans="1:7" x14ac:dyDescent="0.2">
      <c r="A399" s="7">
        <f>Titanic_raw!A399</f>
        <v>1289</v>
      </c>
      <c r="B399" s="20" t="str">
        <f>Titanic_raw!D399</f>
        <v>Frolicher-Stehli, Mrs. Maxmillian (Margaretha Emerentia Stehli)</v>
      </c>
      <c r="C399" s="21" t="s">
        <v>610</v>
      </c>
      <c r="D399" s="22" t="str">
        <f t="shared" si="18"/>
        <v>Maxmillian (Margaretha Emerentia Stehli)</v>
      </c>
      <c r="E399" s="21" t="str">
        <f t="shared" si="19"/>
        <v>Frolicher-Stehli</v>
      </c>
      <c r="F399" s="21" t="str">
        <f t="shared" si="20"/>
        <v>Mrs. Maxmillian (Margaretha Emerentia Stehli) Frolicher-Stehli</v>
      </c>
      <c r="G399" s="21" t="str">
        <f>PROPER(Titanic_raw!E399)</f>
        <v>Female</v>
      </c>
    </row>
    <row r="400" spans="1:7" x14ac:dyDescent="0.2">
      <c r="A400" s="7">
        <f>Titanic_raw!A400</f>
        <v>1290</v>
      </c>
      <c r="B400" s="16" t="str">
        <f>Titanic_raw!D400</f>
        <v>Larsson-Rondberg, Mr. Edvard A</v>
      </c>
      <c r="C400" s="17" t="s">
        <v>609</v>
      </c>
      <c r="D400" s="18" t="str">
        <f t="shared" si="18"/>
        <v>Edvard A</v>
      </c>
      <c r="E400" s="17" t="str">
        <f t="shared" si="19"/>
        <v>Larsson-Rondberg</v>
      </c>
      <c r="F400" s="17" t="str">
        <f t="shared" si="20"/>
        <v>Mr. Edvard A Larsson-Rondberg</v>
      </c>
      <c r="G400" s="17" t="str">
        <f>PROPER(Titanic_raw!E400)</f>
        <v>Male</v>
      </c>
    </row>
    <row r="401" spans="1:7" x14ac:dyDescent="0.2">
      <c r="A401" s="7">
        <f>Titanic_raw!A401</f>
        <v>1291</v>
      </c>
      <c r="B401" s="20" t="str">
        <f>Titanic_raw!D401</f>
        <v>Conlon, Mr. Thomas Henry</v>
      </c>
      <c r="C401" s="21" t="s">
        <v>609</v>
      </c>
      <c r="D401" s="22" t="str">
        <f t="shared" si="18"/>
        <v>Thomas Henry</v>
      </c>
      <c r="E401" s="21" t="str">
        <f t="shared" si="19"/>
        <v>Conlon</v>
      </c>
      <c r="F401" s="21" t="str">
        <f t="shared" si="20"/>
        <v>Mr. Thomas Henry Conlon</v>
      </c>
      <c r="G401" s="21" t="str">
        <f>PROPER(Titanic_raw!E401)</f>
        <v>Male</v>
      </c>
    </row>
    <row r="402" spans="1:7" x14ac:dyDescent="0.2">
      <c r="A402" s="7">
        <f>Titanic_raw!A402</f>
        <v>1292</v>
      </c>
      <c r="B402" s="16" t="str">
        <f>Titanic_raw!D402</f>
        <v>Bonnell, Miss. Caroline</v>
      </c>
      <c r="C402" s="17" t="s">
        <v>611</v>
      </c>
      <c r="D402" s="18" t="str">
        <f t="shared" si="18"/>
        <v>Caroline</v>
      </c>
      <c r="E402" s="17" t="str">
        <f t="shared" si="19"/>
        <v>Bonnell</v>
      </c>
      <c r="F402" s="17" t="str">
        <f t="shared" si="20"/>
        <v>Miss. Caroline Bonnell</v>
      </c>
      <c r="G402" s="17" t="str">
        <f>PROPER(Titanic_raw!E402)</f>
        <v>Female</v>
      </c>
    </row>
    <row r="403" spans="1:7" x14ac:dyDescent="0.2">
      <c r="A403" s="7">
        <f>Titanic_raw!A403</f>
        <v>1293</v>
      </c>
      <c r="B403" s="20" t="str">
        <f>Titanic_raw!D403</f>
        <v>Gale, Mr. Harry</v>
      </c>
      <c r="C403" s="21" t="s">
        <v>609</v>
      </c>
      <c r="D403" s="22" t="str">
        <f t="shared" si="18"/>
        <v>Harry</v>
      </c>
      <c r="E403" s="21" t="str">
        <f t="shared" si="19"/>
        <v>Gale</v>
      </c>
      <c r="F403" s="21" t="str">
        <f t="shared" si="20"/>
        <v>Mr. Harry Gale</v>
      </c>
      <c r="G403" s="21" t="str">
        <f>PROPER(Titanic_raw!E403)</f>
        <v>Male</v>
      </c>
    </row>
    <row r="404" spans="1:7" x14ac:dyDescent="0.2">
      <c r="A404" s="7">
        <f>Titanic_raw!A404</f>
        <v>1294</v>
      </c>
      <c r="B404" s="16" t="str">
        <f>Titanic_raw!D404</f>
        <v>Gibson, Miss. Dorothy Winifred</v>
      </c>
      <c r="C404" s="17" t="s">
        <v>611</v>
      </c>
      <c r="D404" s="18" t="str">
        <f t="shared" si="18"/>
        <v>Dorothy Winifred</v>
      </c>
      <c r="E404" s="17" t="str">
        <f t="shared" si="19"/>
        <v>Gibson</v>
      </c>
      <c r="F404" s="17" t="str">
        <f t="shared" si="20"/>
        <v>Miss. Dorothy Winifred Gibson</v>
      </c>
      <c r="G404" s="17" t="str">
        <f>PROPER(Titanic_raw!E404)</f>
        <v>Female</v>
      </c>
    </row>
    <row r="405" spans="1:7" x14ac:dyDescent="0.2">
      <c r="A405" s="7">
        <f>Titanic_raw!A405</f>
        <v>1295</v>
      </c>
      <c r="B405" s="20" t="str">
        <f>Titanic_raw!D405</f>
        <v>Carrau, Mr. Jose Pedro</v>
      </c>
      <c r="C405" s="21" t="s">
        <v>609</v>
      </c>
      <c r="D405" s="22" t="str">
        <f t="shared" si="18"/>
        <v>Jose Pedro</v>
      </c>
      <c r="E405" s="21" t="str">
        <f t="shared" si="19"/>
        <v>Carrau</v>
      </c>
      <c r="F405" s="21" t="str">
        <f t="shared" si="20"/>
        <v>Mr. Jose Pedro Carrau</v>
      </c>
      <c r="G405" s="21" t="str">
        <f>PROPER(Titanic_raw!E405)</f>
        <v>Male</v>
      </c>
    </row>
    <row r="406" spans="1:7" x14ac:dyDescent="0.2">
      <c r="A406" s="7">
        <f>Titanic_raw!A406</f>
        <v>1296</v>
      </c>
      <c r="B406" s="16" t="str">
        <f>Titanic_raw!D406</f>
        <v>Frauenthal, Mr. Isaac Gerald</v>
      </c>
      <c r="C406" s="17" t="s">
        <v>609</v>
      </c>
      <c r="D406" s="18" t="str">
        <f t="shared" si="18"/>
        <v>Isaac Gerald</v>
      </c>
      <c r="E406" s="17" t="str">
        <f t="shared" si="19"/>
        <v>Frauenthal</v>
      </c>
      <c r="F406" s="17" t="str">
        <f t="shared" si="20"/>
        <v>Mr. Isaac Gerald Frauenthal</v>
      </c>
      <c r="G406" s="17" t="str">
        <f>PROPER(Titanic_raw!E406)</f>
        <v>Male</v>
      </c>
    </row>
    <row r="407" spans="1:7" x14ac:dyDescent="0.2">
      <c r="A407" s="7">
        <f>Titanic_raw!A407</f>
        <v>1297</v>
      </c>
      <c r="B407" s="20" t="str">
        <f>Titanic_raw!D407</f>
        <v>Nourney, Mr. Alfred (Baron von Drachstedt")"</v>
      </c>
      <c r="C407" s="21" t="s">
        <v>609</v>
      </c>
      <c r="D407" s="22" t="str">
        <f t="shared" si="18"/>
        <v>Alfred (Baron von Drachstedt")"</v>
      </c>
      <c r="E407" s="21" t="str">
        <f t="shared" si="19"/>
        <v>Nourney</v>
      </c>
      <c r="F407" s="21" t="str">
        <f t="shared" si="20"/>
        <v>Mr. Alfred (Baron von Drachstedt")" Nourney</v>
      </c>
      <c r="G407" s="21" t="str">
        <f>PROPER(Titanic_raw!E407)</f>
        <v>Male</v>
      </c>
    </row>
    <row r="408" spans="1:7" x14ac:dyDescent="0.2">
      <c r="A408" s="7">
        <f>Titanic_raw!A408</f>
        <v>1298</v>
      </c>
      <c r="B408" s="16" t="str">
        <f>Titanic_raw!D408</f>
        <v>Ware, Mr. William Jeffery</v>
      </c>
      <c r="C408" s="17" t="s">
        <v>609</v>
      </c>
      <c r="D408" s="18" t="str">
        <f t="shared" si="18"/>
        <v>William Jeffery</v>
      </c>
      <c r="E408" s="17" t="str">
        <f t="shared" si="19"/>
        <v>Ware</v>
      </c>
      <c r="F408" s="17" t="str">
        <f t="shared" si="20"/>
        <v>Mr. William Jeffery Ware</v>
      </c>
      <c r="G408" s="17" t="str">
        <f>PROPER(Titanic_raw!E408)</f>
        <v>Male</v>
      </c>
    </row>
    <row r="409" spans="1:7" x14ac:dyDescent="0.2">
      <c r="A409" s="7">
        <f>Titanic_raw!A409</f>
        <v>1299</v>
      </c>
      <c r="B409" s="20" t="str">
        <f>Titanic_raw!D409</f>
        <v>Widener, Mr. George Dunton</v>
      </c>
      <c r="C409" s="21" t="s">
        <v>609</v>
      </c>
      <c r="D409" s="22" t="str">
        <f t="shared" si="18"/>
        <v>George Dunton</v>
      </c>
      <c r="E409" s="21" t="str">
        <f t="shared" si="19"/>
        <v>Widener</v>
      </c>
      <c r="F409" s="21" t="str">
        <f t="shared" si="20"/>
        <v>Mr. George Dunton Widener</v>
      </c>
      <c r="G409" s="21" t="str">
        <f>PROPER(Titanic_raw!E409)</f>
        <v>Male</v>
      </c>
    </row>
    <row r="410" spans="1:7" x14ac:dyDescent="0.2">
      <c r="A410" s="7">
        <f>Titanic_raw!A410</f>
        <v>1300</v>
      </c>
      <c r="B410" s="16" t="str">
        <f>Titanic_raw!D410</f>
        <v>Riordan, Miss. Johanna Hannah""</v>
      </c>
      <c r="C410" s="17" t="s">
        <v>611</v>
      </c>
      <c r="D410" s="18" t="str">
        <f t="shared" si="18"/>
        <v>Johanna Hannah""</v>
      </c>
      <c r="E410" s="17" t="str">
        <f t="shared" si="19"/>
        <v>Riordan</v>
      </c>
      <c r="F410" s="17" t="str">
        <f t="shared" si="20"/>
        <v>Miss. Johanna Hannah"" Riordan</v>
      </c>
      <c r="G410" s="17" t="str">
        <f>PROPER(Titanic_raw!E410)</f>
        <v>Female</v>
      </c>
    </row>
    <row r="411" spans="1:7" x14ac:dyDescent="0.2">
      <c r="A411" s="7">
        <f>Titanic_raw!A411</f>
        <v>1301</v>
      </c>
      <c r="B411" s="20" t="str">
        <f>Titanic_raw!D411</f>
        <v>Peacock, Miss. Treasteall</v>
      </c>
      <c r="C411" s="21" t="s">
        <v>611</v>
      </c>
      <c r="D411" s="22" t="str">
        <f t="shared" si="18"/>
        <v>Treasteall</v>
      </c>
      <c r="E411" s="21" t="str">
        <f t="shared" si="19"/>
        <v>Peacock</v>
      </c>
      <c r="F411" s="21" t="str">
        <f t="shared" si="20"/>
        <v>Miss. Treasteall Peacock</v>
      </c>
      <c r="G411" s="21" t="str">
        <f>PROPER(Titanic_raw!E411)</f>
        <v>Female</v>
      </c>
    </row>
    <row r="412" spans="1:7" x14ac:dyDescent="0.2">
      <c r="A412" s="7">
        <f>Titanic_raw!A412</f>
        <v>1302</v>
      </c>
      <c r="B412" s="16" t="str">
        <f>Titanic_raw!D412</f>
        <v>Naughton, Miss. Hannah</v>
      </c>
      <c r="C412" s="17" t="s">
        <v>611</v>
      </c>
      <c r="D412" s="18" t="str">
        <f t="shared" si="18"/>
        <v>Hannah</v>
      </c>
      <c r="E412" s="17" t="str">
        <f t="shared" si="19"/>
        <v>Naughton</v>
      </c>
      <c r="F412" s="17" t="str">
        <f t="shared" si="20"/>
        <v>Miss. Hannah Naughton</v>
      </c>
      <c r="G412" s="17" t="str">
        <f>PROPER(Titanic_raw!E412)</f>
        <v>Female</v>
      </c>
    </row>
    <row r="413" spans="1:7" x14ac:dyDescent="0.2">
      <c r="A413" s="7">
        <f>Titanic_raw!A413</f>
        <v>1303</v>
      </c>
      <c r="B413" s="20" t="str">
        <f>Titanic_raw!D413</f>
        <v>Minahan, Mrs. William Edward (Lillian E Thorpe)</v>
      </c>
      <c r="C413" s="21" t="s">
        <v>610</v>
      </c>
      <c r="D413" s="22" t="str">
        <f t="shared" si="18"/>
        <v>William Edward (Lillian E Thorpe)</v>
      </c>
      <c r="E413" s="21" t="str">
        <f t="shared" si="19"/>
        <v>Minahan</v>
      </c>
      <c r="F413" s="21" t="str">
        <f t="shared" si="20"/>
        <v>Mrs. William Edward (Lillian E Thorpe) Minahan</v>
      </c>
      <c r="G413" s="21" t="str">
        <f>PROPER(Titanic_raw!E413)</f>
        <v>Female</v>
      </c>
    </row>
    <row r="414" spans="1:7" x14ac:dyDescent="0.2">
      <c r="A414" s="7">
        <f>Titanic_raw!A414</f>
        <v>1304</v>
      </c>
      <c r="B414" s="16" t="str">
        <f>Titanic_raw!D414</f>
        <v>Henriksson, Miss. Jenny Lovisa</v>
      </c>
      <c r="C414" s="17" t="s">
        <v>611</v>
      </c>
      <c r="D414" s="18" t="str">
        <f t="shared" si="18"/>
        <v>Jenny Lovisa</v>
      </c>
      <c r="E414" s="17" t="str">
        <f t="shared" si="19"/>
        <v>Henriksson</v>
      </c>
      <c r="F414" s="17" t="str">
        <f t="shared" si="20"/>
        <v>Miss. Jenny Lovisa Henriksson</v>
      </c>
      <c r="G414" s="17" t="str">
        <f>PROPER(Titanic_raw!E414)</f>
        <v>Female</v>
      </c>
    </row>
    <row r="415" spans="1:7" x14ac:dyDescent="0.2">
      <c r="A415" s="7">
        <f>Titanic_raw!A415</f>
        <v>1305</v>
      </c>
      <c r="B415" s="20" t="str">
        <f>Titanic_raw!D415</f>
        <v>Spector, Mr. Woolf</v>
      </c>
      <c r="C415" s="21" t="s">
        <v>609</v>
      </c>
      <c r="D415" s="22" t="str">
        <f t="shared" si="18"/>
        <v>Woolf</v>
      </c>
      <c r="E415" s="21" t="str">
        <f t="shared" si="19"/>
        <v>Spector</v>
      </c>
      <c r="F415" s="21" t="str">
        <f t="shared" si="20"/>
        <v>Mr. Woolf Spector</v>
      </c>
      <c r="G415" s="21" t="str">
        <f>PROPER(Titanic_raw!E415)</f>
        <v>Male</v>
      </c>
    </row>
    <row r="416" spans="1:7" x14ac:dyDescent="0.2">
      <c r="A416" s="7">
        <f>Titanic_raw!A416</f>
        <v>1306</v>
      </c>
      <c r="B416" s="16" t="str">
        <f>Titanic_raw!D416</f>
        <v>Oliva y Ocana, Dona. Fermina</v>
      </c>
      <c r="C416" s="17" t="s">
        <v>617</v>
      </c>
      <c r="D416" s="18" t="str">
        <f t="shared" si="18"/>
        <v>Fermina</v>
      </c>
      <c r="E416" s="17" t="str">
        <f t="shared" si="19"/>
        <v>Oliva y Ocana</v>
      </c>
      <c r="F416" s="17" t="str">
        <f t="shared" si="20"/>
        <v>Dona. Fermina Oliva y Ocana</v>
      </c>
      <c r="G416" s="17" t="str">
        <f>PROPER(Titanic_raw!E416)</f>
        <v>Female</v>
      </c>
    </row>
    <row r="417" spans="1:7" x14ac:dyDescent="0.2">
      <c r="A417" s="7">
        <f>Titanic_raw!A417</f>
        <v>1307</v>
      </c>
      <c r="B417" s="20" t="str">
        <f>Titanic_raw!D417</f>
        <v>Saether, Mr. Simon Sivertsen</v>
      </c>
      <c r="C417" s="21" t="s">
        <v>609</v>
      </c>
      <c r="D417" s="22" t="str">
        <f t="shared" si="18"/>
        <v>Simon Sivertsen</v>
      </c>
      <c r="E417" s="21" t="str">
        <f t="shared" si="19"/>
        <v>Saether</v>
      </c>
      <c r="F417" s="21" t="str">
        <f t="shared" si="20"/>
        <v>Mr. Simon Sivertsen Saether</v>
      </c>
      <c r="G417" s="21" t="str">
        <f>PROPER(Titanic_raw!E417)</f>
        <v>Male</v>
      </c>
    </row>
    <row r="418" spans="1:7" x14ac:dyDescent="0.2">
      <c r="A418" s="7">
        <f>Titanic_raw!A418</f>
        <v>1308</v>
      </c>
      <c r="B418" s="16" t="str">
        <f>Titanic_raw!D418</f>
        <v>Ware, Mr. Frederick</v>
      </c>
      <c r="C418" s="17" t="s">
        <v>609</v>
      </c>
      <c r="D418" s="18" t="str">
        <f t="shared" si="18"/>
        <v>Frederick</v>
      </c>
      <c r="E418" s="17" t="str">
        <f t="shared" si="19"/>
        <v>Ware</v>
      </c>
      <c r="F418" s="17" t="str">
        <f t="shared" si="20"/>
        <v>Mr. Frederick Ware</v>
      </c>
      <c r="G418" s="17" t="str">
        <f>PROPER(Titanic_raw!E418)</f>
        <v>Male</v>
      </c>
    </row>
    <row r="419" spans="1:7" x14ac:dyDescent="0.2">
      <c r="A419" s="7">
        <f>Titanic_raw!A419</f>
        <v>1309</v>
      </c>
      <c r="B419" s="8" t="str">
        <f>Titanic_raw!D419</f>
        <v>Peter, Master. Michael J</v>
      </c>
      <c r="C419" s="9" t="s">
        <v>612</v>
      </c>
      <c r="D419" s="24" t="str">
        <f t="shared" si="18"/>
        <v>Michael J</v>
      </c>
      <c r="E419" s="9" t="str">
        <f t="shared" si="19"/>
        <v>Peter</v>
      </c>
      <c r="F419" s="9" t="str">
        <f t="shared" si="20"/>
        <v>Master. Michael J Peter</v>
      </c>
      <c r="G419" s="9" t="str">
        <f>PROPER(Titanic_raw!E419)</f>
        <v>Male</v>
      </c>
    </row>
  </sheetData>
  <sheetProtection algorithmName="SHA-512" hashValue="i7w2oYSM43rLO7+zuQH8St+hdEqf0Dpx8+IIl/805nA94WS9Jym+QbA5FBf6bKYZWogJQY3eiYEU9iFGGcP5+g==" saltValue="TYjsmULhMLO5wDWXs2sFzA==" spinCount="100000" sheet="1" objects="1" scenarios="1"/>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B25DC-09D6-4BDA-8F82-C5DAB6C42E42}">
  <dimension ref="A1:H186"/>
  <sheetViews>
    <sheetView topLeftCell="B87" workbookViewId="0">
      <selection activeCell="C87" sqref="C87"/>
    </sheetView>
  </sheetViews>
  <sheetFormatPr defaultRowHeight="14.25" x14ac:dyDescent="0.2"/>
  <cols>
    <col min="1" max="1" width="23.5546875" bestFit="1" customWidth="1"/>
    <col min="2" max="2" width="3.77734375" bestFit="1" customWidth="1"/>
    <col min="3" max="3" width="21.109375" bestFit="1" customWidth="1"/>
    <col min="4" max="4" width="19.33203125" bestFit="1" customWidth="1"/>
    <col min="5" max="5" width="13" bestFit="1" customWidth="1"/>
    <col min="6" max="6" width="21.109375" bestFit="1" customWidth="1"/>
    <col min="7" max="7" width="14.21875" bestFit="1" customWidth="1"/>
    <col min="8" max="47" width="8.33203125" bestFit="1" customWidth="1"/>
    <col min="48" max="159" width="9.44140625" bestFit="1" customWidth="1"/>
    <col min="160" max="175" width="10.5546875" bestFit="1" customWidth="1"/>
    <col min="176" max="176" width="14.21875" bestFit="1" customWidth="1"/>
  </cols>
  <sheetData>
    <row r="1" spans="1:8" ht="19.5" x14ac:dyDescent="0.25">
      <c r="H1" s="40" t="s">
        <v>643</v>
      </c>
    </row>
    <row r="2" spans="1:8" x14ac:dyDescent="0.2">
      <c r="A2" t="s">
        <v>621</v>
      </c>
      <c r="B2" s="28" t="s">
        <v>652</v>
      </c>
    </row>
    <row r="3" spans="1:8" x14ac:dyDescent="0.2">
      <c r="B3" s="29" t="s">
        <v>642</v>
      </c>
      <c r="C3" s="29"/>
      <c r="D3" s="30">
        <f>COUNT(tbl_passenger[PassengerId])</f>
        <v>418</v>
      </c>
    </row>
    <row r="4" spans="1:8" x14ac:dyDescent="0.2">
      <c r="B4" t="s">
        <v>653</v>
      </c>
    </row>
    <row r="10" spans="1:8" x14ac:dyDescent="0.2">
      <c r="A10" t="s">
        <v>622</v>
      </c>
      <c r="B10" s="5" t="s">
        <v>630</v>
      </c>
      <c r="C10" t="s">
        <v>633</v>
      </c>
      <c r="D10" t="s">
        <v>654</v>
      </c>
    </row>
    <row r="11" spans="1:8" x14ac:dyDescent="0.2">
      <c r="B11" s="6" t="s">
        <v>646</v>
      </c>
      <c r="C11" s="4">
        <v>93</v>
      </c>
      <c r="D11" s="32">
        <v>0.22601296931147</v>
      </c>
    </row>
    <row r="12" spans="1:8" x14ac:dyDescent="0.2">
      <c r="B12" s="6" t="s">
        <v>645</v>
      </c>
      <c r="C12" s="4">
        <v>107</v>
      </c>
      <c r="D12" s="32">
        <v>0.25545152377453484</v>
      </c>
    </row>
    <row r="13" spans="1:8" x14ac:dyDescent="0.2">
      <c r="B13" s="6" t="s">
        <v>644</v>
      </c>
      <c r="C13" s="4">
        <v>218</v>
      </c>
      <c r="D13" s="32">
        <v>0.51853550691399519</v>
      </c>
    </row>
    <row r="14" spans="1:8" x14ac:dyDescent="0.2">
      <c r="B14" s="6" t="s">
        <v>631</v>
      </c>
      <c r="C14" s="4">
        <v>418</v>
      </c>
      <c r="D14" s="31">
        <v>1</v>
      </c>
    </row>
    <row r="27" spans="2:2" x14ac:dyDescent="0.2">
      <c r="B27" t="s">
        <v>658</v>
      </c>
    </row>
    <row r="28" spans="2:2" x14ac:dyDescent="0.2">
      <c r="B28" t="s">
        <v>655</v>
      </c>
    </row>
    <row r="33" spans="1:4" x14ac:dyDescent="0.2">
      <c r="A33" t="s">
        <v>623</v>
      </c>
      <c r="B33" s="5" t="s">
        <v>630</v>
      </c>
      <c r="C33" t="s">
        <v>680</v>
      </c>
      <c r="D33" t="s">
        <v>654</v>
      </c>
    </row>
    <row r="34" spans="1:4" x14ac:dyDescent="0.2">
      <c r="B34" s="6" t="s">
        <v>635</v>
      </c>
      <c r="C34" s="4">
        <v>266</v>
      </c>
      <c r="D34" s="32">
        <v>0.63758969933196963</v>
      </c>
    </row>
    <row r="35" spans="1:4" x14ac:dyDescent="0.2">
      <c r="B35" s="6" t="s">
        <v>634</v>
      </c>
      <c r="C35" s="4">
        <v>152</v>
      </c>
      <c r="D35" s="32">
        <v>0.36241030066803043</v>
      </c>
    </row>
    <row r="36" spans="1:4" x14ac:dyDescent="0.2">
      <c r="B36" s="6" t="s">
        <v>631</v>
      </c>
      <c r="C36" s="4">
        <v>418</v>
      </c>
      <c r="D36" s="31">
        <v>1</v>
      </c>
    </row>
    <row r="47" spans="1:4" x14ac:dyDescent="0.2">
      <c r="B47" t="s">
        <v>656</v>
      </c>
    </row>
    <row r="53" spans="1:4" x14ac:dyDescent="0.2">
      <c r="A53" t="s">
        <v>624</v>
      </c>
      <c r="B53" s="5" t="s">
        <v>630</v>
      </c>
      <c r="C53" t="s">
        <v>633</v>
      </c>
      <c r="D53" t="s">
        <v>654</v>
      </c>
    </row>
    <row r="54" spans="1:4" x14ac:dyDescent="0.2">
      <c r="B54" s="6" t="s">
        <v>650</v>
      </c>
      <c r="C54" s="4">
        <v>275</v>
      </c>
      <c r="D54" s="32">
        <v>0.65812625405155112</v>
      </c>
    </row>
    <row r="55" spans="1:4" x14ac:dyDescent="0.2">
      <c r="B55" s="6" t="s">
        <v>651</v>
      </c>
      <c r="C55" s="4">
        <v>68</v>
      </c>
      <c r="D55" s="32">
        <v>0.16405113812990615</v>
      </c>
    </row>
    <row r="56" spans="1:4" x14ac:dyDescent="0.2">
      <c r="B56" s="6" t="s">
        <v>682</v>
      </c>
      <c r="C56" s="4">
        <v>61</v>
      </c>
      <c r="D56" s="32">
        <v>0.14666886952211805</v>
      </c>
    </row>
    <row r="57" spans="1:4" x14ac:dyDescent="0.2">
      <c r="B57" s="6" t="s">
        <v>683</v>
      </c>
      <c r="C57" s="4">
        <v>14</v>
      </c>
      <c r="D57" s="32">
        <v>3.1153738296424635E-2</v>
      </c>
    </row>
    <row r="58" spans="1:4" x14ac:dyDescent="0.2">
      <c r="B58" s="6" t="s">
        <v>631</v>
      </c>
      <c r="C58" s="4">
        <v>418</v>
      </c>
      <c r="D58" s="31">
        <v>1</v>
      </c>
    </row>
    <row r="72" spans="1:4" x14ac:dyDescent="0.2">
      <c r="B72" t="s">
        <v>664</v>
      </c>
    </row>
    <row r="73" spans="1:4" x14ac:dyDescent="0.2">
      <c r="B73" t="s">
        <v>657</v>
      </c>
    </row>
    <row r="76" spans="1:4" x14ac:dyDescent="0.2">
      <c r="A76" t="s">
        <v>625</v>
      </c>
      <c r="B76" s="5" t="s">
        <v>630</v>
      </c>
      <c r="C76" t="s">
        <v>633</v>
      </c>
      <c r="D76" t="s">
        <v>654</v>
      </c>
    </row>
    <row r="77" spans="1:4" x14ac:dyDescent="0.2">
      <c r="B77" s="6">
        <v>1</v>
      </c>
      <c r="C77" s="4">
        <v>110</v>
      </c>
      <c r="D77" s="32">
        <v>0.81679368737407432</v>
      </c>
    </row>
    <row r="78" spans="1:4" x14ac:dyDescent="0.2">
      <c r="B78" s="6">
        <v>2</v>
      </c>
      <c r="C78" s="4">
        <v>14</v>
      </c>
      <c r="D78" s="32">
        <v>0.10043732858943</v>
      </c>
    </row>
    <row r="79" spans="1:4" x14ac:dyDescent="0.2">
      <c r="B79" s="6">
        <v>4</v>
      </c>
      <c r="C79" s="4">
        <v>4</v>
      </c>
      <c r="D79" s="32">
        <v>2.9447240921557132E-2</v>
      </c>
    </row>
    <row r="80" spans="1:4" x14ac:dyDescent="0.2">
      <c r="B80" s="6">
        <v>3</v>
      </c>
      <c r="C80" s="4">
        <v>4</v>
      </c>
      <c r="D80" s="32">
        <v>3.0653432254499634E-2</v>
      </c>
    </row>
    <row r="81" spans="2:4" x14ac:dyDescent="0.2">
      <c r="B81" s="6">
        <v>8</v>
      </c>
      <c r="C81" s="4">
        <v>2</v>
      </c>
      <c r="D81" s="32">
        <v>1.5714179823586093E-2</v>
      </c>
    </row>
    <row r="82" spans="2:4" x14ac:dyDescent="0.2">
      <c r="B82" s="6">
        <v>5</v>
      </c>
      <c r="C82" s="4">
        <v>1</v>
      </c>
      <c r="D82" s="32">
        <v>6.9541310368528512E-3</v>
      </c>
    </row>
    <row r="83" spans="2:4" x14ac:dyDescent="0.2">
      <c r="B83" s="6" t="s">
        <v>631</v>
      </c>
      <c r="C83" s="4">
        <v>135</v>
      </c>
      <c r="D83" s="31">
        <v>1</v>
      </c>
    </row>
    <row r="95" spans="2:4" x14ac:dyDescent="0.2">
      <c r="B95" t="s">
        <v>665</v>
      </c>
    </row>
    <row r="96" spans="2:4" x14ac:dyDescent="0.2">
      <c r="B96" t="s">
        <v>666</v>
      </c>
    </row>
    <row r="97" spans="1:6" x14ac:dyDescent="0.2">
      <c r="B97" t="s">
        <v>688</v>
      </c>
    </row>
    <row r="98" spans="1:6" x14ac:dyDescent="0.2">
      <c r="B98" t="s">
        <v>668</v>
      </c>
    </row>
    <row r="103" spans="1:6" x14ac:dyDescent="0.2">
      <c r="A103" t="s">
        <v>626</v>
      </c>
      <c r="B103" t="s">
        <v>669</v>
      </c>
    </row>
    <row r="104" spans="1:6" x14ac:dyDescent="0.2">
      <c r="B104" s="5" t="s">
        <v>630</v>
      </c>
      <c r="C104" t="s">
        <v>633</v>
      </c>
    </row>
    <row r="105" spans="1:6" x14ac:dyDescent="0.2">
      <c r="B105" s="6">
        <v>1</v>
      </c>
      <c r="C105" s="4">
        <v>52</v>
      </c>
    </row>
    <row r="106" spans="1:6" x14ac:dyDescent="0.2">
      <c r="B106" s="6" t="s">
        <v>631</v>
      </c>
      <c r="C106" s="4">
        <v>52</v>
      </c>
    </row>
    <row r="107" spans="1:6" x14ac:dyDescent="0.2">
      <c r="B107" t="s">
        <v>670</v>
      </c>
    </row>
    <row r="109" spans="1:6" x14ac:dyDescent="0.2">
      <c r="E109" s="5" t="s">
        <v>7</v>
      </c>
      <c r="F109" s="41">
        <v>3.1707999999999998</v>
      </c>
    </row>
    <row r="111" spans="1:6" x14ac:dyDescent="0.2">
      <c r="A111" t="s">
        <v>627</v>
      </c>
      <c r="B111" t="s">
        <v>632</v>
      </c>
      <c r="C111" t="s">
        <v>647</v>
      </c>
      <c r="D111" t="s">
        <v>648</v>
      </c>
      <c r="E111" t="s">
        <v>632</v>
      </c>
    </row>
    <row r="112" spans="1:6" x14ac:dyDescent="0.2">
      <c r="B112" s="27">
        <v>14892.164788489195</v>
      </c>
      <c r="C112" s="27">
        <v>35.627188489208599</v>
      </c>
      <c r="D112" s="27">
        <v>512.32920000000001</v>
      </c>
      <c r="E112" s="27">
        <v>3.1707999999999998</v>
      </c>
    </row>
    <row r="114" spans="1:4" x14ac:dyDescent="0.2">
      <c r="B114" t="s">
        <v>671</v>
      </c>
    </row>
    <row r="115" spans="1:4" x14ac:dyDescent="0.2">
      <c r="B115" t="s">
        <v>672</v>
      </c>
    </row>
    <row r="119" spans="1:4" x14ac:dyDescent="0.2">
      <c r="A119" t="s">
        <v>628</v>
      </c>
      <c r="B119" s="5" t="s">
        <v>630</v>
      </c>
      <c r="C119" t="s">
        <v>633</v>
      </c>
      <c r="D119" t="s">
        <v>654</v>
      </c>
    </row>
    <row r="120" spans="1:4" x14ac:dyDescent="0.2">
      <c r="B120" s="6" t="s">
        <v>638</v>
      </c>
      <c r="C120" s="4">
        <v>46</v>
      </c>
      <c r="D120" s="32">
        <v>0.10882178392161893</v>
      </c>
    </row>
    <row r="121" spans="1:4" x14ac:dyDescent="0.2">
      <c r="B121" s="6" t="s">
        <v>637</v>
      </c>
      <c r="C121" s="4">
        <v>102</v>
      </c>
      <c r="D121" s="32">
        <v>0.24272785967231075</v>
      </c>
    </row>
    <row r="122" spans="1:4" x14ac:dyDescent="0.2">
      <c r="B122" s="6" t="s">
        <v>639</v>
      </c>
      <c r="C122" s="4">
        <v>270</v>
      </c>
      <c r="D122" s="32">
        <v>0.64845035640607029</v>
      </c>
    </row>
    <row r="123" spans="1:4" x14ac:dyDescent="0.2">
      <c r="B123" s="6" t="s">
        <v>631</v>
      </c>
      <c r="C123" s="4">
        <v>418</v>
      </c>
      <c r="D123" s="32">
        <v>1</v>
      </c>
    </row>
    <row r="137" spans="1:4" x14ac:dyDescent="0.2">
      <c r="B137" t="s">
        <v>673</v>
      </c>
    </row>
    <row r="138" spans="1:4" x14ac:dyDescent="0.2">
      <c r="B138" t="s">
        <v>674</v>
      </c>
    </row>
    <row r="139" spans="1:4" x14ac:dyDescent="0.2">
      <c r="B139" t="s">
        <v>675</v>
      </c>
    </row>
    <row r="143" spans="1:4" x14ac:dyDescent="0.2">
      <c r="A143" t="s">
        <v>676</v>
      </c>
      <c r="B143" s="5" t="s">
        <v>633</v>
      </c>
      <c r="C143" s="5" t="s">
        <v>677</v>
      </c>
    </row>
    <row r="144" spans="1:4" x14ac:dyDescent="0.2">
      <c r="B144" s="5" t="s">
        <v>630</v>
      </c>
      <c r="C144" t="s">
        <v>635</v>
      </c>
      <c r="D144" t="s">
        <v>634</v>
      </c>
    </row>
    <row r="145" spans="2:4" x14ac:dyDescent="0.2">
      <c r="B145" s="6" t="s">
        <v>644</v>
      </c>
      <c r="C145" s="4">
        <v>146</v>
      </c>
      <c r="D145" s="4">
        <v>72</v>
      </c>
    </row>
    <row r="146" spans="2:4" x14ac:dyDescent="0.2">
      <c r="B146" s="6" t="s">
        <v>646</v>
      </c>
      <c r="C146" s="4">
        <v>63</v>
      </c>
      <c r="D146" s="4">
        <v>30</v>
      </c>
    </row>
    <row r="147" spans="2:4" x14ac:dyDescent="0.2">
      <c r="B147" s="6" t="s">
        <v>645</v>
      </c>
      <c r="C147" s="4">
        <v>57</v>
      </c>
      <c r="D147" s="4">
        <v>50</v>
      </c>
    </row>
    <row r="148" spans="2:4" x14ac:dyDescent="0.2">
      <c r="B148" s="6" t="s">
        <v>631</v>
      </c>
      <c r="C148" s="4">
        <v>266</v>
      </c>
      <c r="D148" s="4">
        <v>152</v>
      </c>
    </row>
    <row r="166" spans="1:5" x14ac:dyDescent="0.2">
      <c r="B166" t="s">
        <v>678</v>
      </c>
    </row>
    <row r="167" spans="1:5" x14ac:dyDescent="0.2">
      <c r="B167" t="s">
        <v>679</v>
      </c>
    </row>
    <row r="171" spans="1:5" x14ac:dyDescent="0.2">
      <c r="A171" t="s">
        <v>681</v>
      </c>
    </row>
    <row r="173" spans="1:5" x14ac:dyDescent="0.2">
      <c r="B173" t="s">
        <v>659</v>
      </c>
      <c r="C173" t="s">
        <v>661</v>
      </c>
      <c r="D173" t="s">
        <v>662</v>
      </c>
      <c r="E173" t="s">
        <v>660</v>
      </c>
    </row>
    <row r="174" spans="1:5" x14ac:dyDescent="0.2">
      <c r="B174" s="45">
        <v>12653.942756107694</v>
      </c>
      <c r="C174" s="4">
        <v>76</v>
      </c>
      <c r="D174" s="44">
        <v>0.17</v>
      </c>
      <c r="E174" s="25">
        <v>30.272590325616491</v>
      </c>
    </row>
    <row r="177" spans="1:5" x14ac:dyDescent="0.2">
      <c r="A177" t="s">
        <v>684</v>
      </c>
    </row>
    <row r="178" spans="1:5" x14ac:dyDescent="0.2">
      <c r="B178" t="s">
        <v>685</v>
      </c>
    </row>
    <row r="179" spans="1:5" x14ac:dyDescent="0.2">
      <c r="B179" s="4">
        <v>152</v>
      </c>
    </row>
    <row r="181" spans="1:5" x14ac:dyDescent="0.2">
      <c r="D181" s="5" t="s">
        <v>630</v>
      </c>
      <c r="E181" t="s">
        <v>633</v>
      </c>
    </row>
    <row r="182" spans="1:5" x14ac:dyDescent="0.2">
      <c r="D182" s="6" t="s">
        <v>686</v>
      </c>
      <c r="E182" s="4">
        <v>266</v>
      </c>
    </row>
    <row r="183" spans="1:5" x14ac:dyDescent="0.2">
      <c r="A183" s="5" t="s">
        <v>640</v>
      </c>
      <c r="B183" s="6">
        <v>0</v>
      </c>
      <c r="D183" s="6" t="s">
        <v>1</v>
      </c>
      <c r="E183" s="4">
        <v>152</v>
      </c>
    </row>
    <row r="184" spans="1:5" x14ac:dyDescent="0.2">
      <c r="D184" s="6" t="s">
        <v>631</v>
      </c>
      <c r="E184" s="4">
        <v>418</v>
      </c>
    </row>
    <row r="185" spans="1:5" x14ac:dyDescent="0.2">
      <c r="A185" t="s">
        <v>687</v>
      </c>
    </row>
    <row r="186" spans="1:5" x14ac:dyDescent="0.2">
      <c r="A186" s="4">
        <v>266</v>
      </c>
    </row>
  </sheetData>
  <pageMargins left="0.7" right="0.7" top="0.75" bottom="0.75" header="0.3" footer="0.3"/>
  <pageSetup paperSize="9" orientation="portrait" r:id="rId19"/>
  <drawing r:id="rId2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B054C-30D1-4CA5-9D83-9BDC01693BB8}">
  <dimension ref="E5:F5"/>
  <sheetViews>
    <sheetView showGridLines="0" tabSelected="1" zoomScale="91" zoomScaleNormal="91" workbookViewId="0">
      <selection activeCell="T13" sqref="T13"/>
    </sheetView>
  </sheetViews>
  <sheetFormatPr defaultRowHeight="14.25" x14ac:dyDescent="0.2"/>
  <cols>
    <col min="1" max="1" width="2.77734375" style="42" customWidth="1"/>
    <col min="2" max="3" width="8.88671875" style="42"/>
    <col min="4" max="4" width="2.77734375" style="42" customWidth="1"/>
    <col min="5" max="6" width="8.88671875" style="42"/>
    <col min="7" max="7" width="2.77734375" style="42" customWidth="1"/>
    <col min="8" max="9" width="8.88671875" style="42"/>
    <col min="10" max="10" width="2.77734375" style="42" customWidth="1"/>
    <col min="11" max="12" width="8.88671875" style="42"/>
    <col min="13" max="13" width="2.77734375" style="42" customWidth="1"/>
    <col min="14" max="16384" width="8.88671875" style="42"/>
  </cols>
  <sheetData>
    <row r="5" spans="5:6" ht="16.5" x14ac:dyDescent="0.25">
      <c r="E5" s="43"/>
      <c r="F5" s="43"/>
    </row>
  </sheetData>
  <pageMargins left="0.70866141732283472" right="0.70866141732283472" top="0.74803149606299213" bottom="0.74803149606299213" header="0.31496062992125984" footer="0.31496062992125984"/>
  <pageSetup paperSize="9" orientation="landscape"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Titanic_raw</vt:lpstr>
      <vt:lpstr>Titanic_analyzed</vt:lpstr>
      <vt:lpstr>Passengers</vt:lpstr>
      <vt:lpstr>Calculations</vt:lpstr>
      <vt:lpstr>Dashboards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AYORAPHEAL FARM</dc:creator>
  <cp:lastModifiedBy>AYORAPHEAL FARM</cp:lastModifiedBy>
  <dcterms:created xsi:type="dcterms:W3CDTF">2022-05-19T12:32:35Z</dcterms:created>
  <dcterms:modified xsi:type="dcterms:W3CDTF">2022-08-24T22:37:54Z</dcterms:modified>
</cp:coreProperties>
</file>